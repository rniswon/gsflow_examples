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D:\EDM_LT\GitHub\gsflow.git\gsflow_examples.git\sagehen_3lay_modsim\"/>
    </mc:Choice>
  </mc:AlternateContent>
  <bookViews>
    <workbookView xWindow="0" yWindow="0" windowWidth="25607" windowHeight="9813" activeTab="10"/>
  </bookViews>
  <sheets>
    <sheet name="Sheet1" sheetId="1" r:id="rId1"/>
    <sheet name="spatial_orig" sheetId="2" r:id="rId2"/>
    <sheet name="MS-GSF_mapping_info" sheetId="4" r:id="rId3"/>
    <sheet name="Sheet3" sheetId="6" r:id="rId4"/>
    <sheet name="IBnd2" sheetId="7" r:id="rId5"/>
    <sheet name="IBnd3" sheetId="8" r:id="rId6"/>
    <sheet name="Top1" sheetId="9" r:id="rId7"/>
    <sheet name="Bot1" sheetId="10" r:id="rId8"/>
    <sheet name="Bot2" sheetId="11" r:id="rId9"/>
    <sheet name="Bot3" sheetId="12" r:id="rId10"/>
    <sheet name="Candidate_Well_Locations" sheetId="13" r:id="rId1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4" l="1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1" i="4"/>
  <c r="T9" i="4"/>
  <c r="T7" i="4"/>
  <c r="T10" i="4"/>
  <c r="T5" i="4"/>
  <c r="T18" i="4"/>
  <c r="T6" i="4"/>
  <c r="T8" i="4"/>
  <c r="T4" i="4"/>
  <c r="T11" i="4"/>
  <c r="T14" i="4"/>
  <c r="T13" i="4"/>
  <c r="T20" i="4"/>
  <c r="T17" i="4"/>
  <c r="T19" i="4"/>
  <c r="T21" i="4"/>
  <c r="T1" i="4"/>
  <c r="T2" i="4"/>
  <c r="T3" i="4"/>
  <c r="T15" i="4"/>
  <c r="T22" i="4"/>
  <c r="T23" i="4"/>
  <c r="T16" i="4"/>
  <c r="T24" i="4"/>
  <c r="T25" i="4"/>
  <c r="T12" i="4"/>
  <c r="K203" i="6" l="1"/>
  <c r="L202" i="6"/>
  <c r="K202" i="6"/>
  <c r="L201" i="6"/>
  <c r="K201" i="6"/>
  <c r="L200" i="6"/>
  <c r="K200" i="6"/>
  <c r="L199" i="6"/>
  <c r="K199" i="6"/>
  <c r="L198" i="6"/>
  <c r="K198" i="6"/>
  <c r="L197" i="6"/>
  <c r="K197" i="6"/>
  <c r="L196" i="6"/>
  <c r="K196" i="6"/>
  <c r="L195" i="6"/>
  <c r="K195" i="6"/>
  <c r="L194" i="6"/>
  <c r="K194" i="6"/>
  <c r="L193" i="6"/>
  <c r="K193" i="6"/>
  <c r="L192" i="6"/>
  <c r="K192" i="6"/>
  <c r="L191" i="6"/>
  <c r="K191" i="6"/>
  <c r="L190" i="6"/>
  <c r="K190" i="6"/>
  <c r="L189" i="6"/>
  <c r="K189" i="6"/>
  <c r="L188" i="6"/>
  <c r="K188" i="6"/>
  <c r="L187" i="6"/>
  <c r="K187" i="6"/>
  <c r="L186" i="6"/>
  <c r="K186" i="6"/>
  <c r="L185" i="6"/>
  <c r="K185" i="6"/>
  <c r="L184" i="6"/>
  <c r="K184" i="6"/>
  <c r="L183" i="6"/>
  <c r="K183" i="6"/>
  <c r="L182" i="6"/>
  <c r="K182" i="6"/>
  <c r="L181" i="6"/>
  <c r="K181" i="6"/>
  <c r="L180" i="6"/>
  <c r="K180" i="6"/>
  <c r="L179" i="6"/>
  <c r="K179" i="6"/>
  <c r="L178" i="6"/>
  <c r="K178" i="6"/>
  <c r="L177" i="6"/>
  <c r="K177" i="6"/>
  <c r="L176" i="6"/>
  <c r="K176" i="6"/>
  <c r="L175" i="6"/>
  <c r="K175" i="6"/>
  <c r="L174" i="6"/>
  <c r="K174" i="6"/>
  <c r="L173" i="6"/>
  <c r="K173" i="6"/>
  <c r="L172" i="6"/>
  <c r="K172" i="6"/>
  <c r="L171" i="6"/>
  <c r="K171" i="6"/>
  <c r="L170" i="6"/>
  <c r="K170" i="6"/>
  <c r="L169" i="6"/>
  <c r="K169" i="6"/>
  <c r="L168" i="6"/>
  <c r="K168" i="6"/>
  <c r="L167" i="6"/>
  <c r="K167" i="6"/>
  <c r="L166" i="6"/>
  <c r="K166" i="6"/>
  <c r="L165" i="6"/>
  <c r="K165" i="6"/>
  <c r="L164" i="6"/>
  <c r="K164" i="6"/>
  <c r="L163" i="6"/>
  <c r="K163" i="6"/>
  <c r="L162" i="6"/>
  <c r="K162" i="6"/>
  <c r="L161" i="6"/>
  <c r="K161" i="6"/>
  <c r="L160" i="6"/>
  <c r="K160" i="6"/>
  <c r="L159" i="6"/>
  <c r="K159" i="6"/>
  <c r="L158" i="6"/>
  <c r="K158" i="6"/>
  <c r="L157" i="6"/>
  <c r="K157" i="6"/>
  <c r="L156" i="6"/>
  <c r="K156" i="6"/>
  <c r="L155" i="6"/>
  <c r="K155" i="6"/>
  <c r="L154" i="6"/>
  <c r="K154" i="6"/>
  <c r="L153" i="6"/>
  <c r="K153" i="6"/>
  <c r="L152" i="6"/>
  <c r="K152" i="6"/>
  <c r="L151" i="6"/>
  <c r="K151" i="6"/>
  <c r="L150" i="6"/>
  <c r="K150" i="6"/>
  <c r="L149" i="6"/>
  <c r="K149" i="6"/>
  <c r="L148" i="6"/>
  <c r="K148" i="6"/>
  <c r="L147" i="6"/>
  <c r="K147" i="6"/>
  <c r="L146" i="6"/>
  <c r="K146" i="6"/>
  <c r="L145" i="6"/>
  <c r="K145" i="6"/>
  <c r="L144" i="6"/>
  <c r="K144" i="6"/>
  <c r="L143" i="6"/>
  <c r="K143" i="6"/>
  <c r="L142" i="6"/>
  <c r="K142" i="6"/>
  <c r="L141" i="6"/>
  <c r="K141" i="6"/>
  <c r="L140" i="6"/>
  <c r="K140" i="6"/>
  <c r="L139" i="6"/>
  <c r="K139" i="6"/>
  <c r="L138" i="6"/>
  <c r="K138" i="6"/>
  <c r="L137" i="6"/>
  <c r="K137" i="6"/>
  <c r="L136" i="6"/>
  <c r="K136" i="6"/>
  <c r="L135" i="6"/>
  <c r="K135" i="6"/>
  <c r="L134" i="6"/>
  <c r="K134" i="6"/>
  <c r="L133" i="6"/>
  <c r="K133" i="6"/>
  <c r="L132" i="6"/>
  <c r="K132" i="6"/>
  <c r="L131" i="6"/>
  <c r="K131" i="6"/>
  <c r="L130" i="6"/>
  <c r="K130" i="6"/>
  <c r="L129" i="6"/>
  <c r="K129" i="6"/>
  <c r="L128" i="6"/>
  <c r="K128" i="6"/>
  <c r="L127" i="6"/>
  <c r="K127" i="6"/>
  <c r="L126" i="6"/>
  <c r="K126" i="6"/>
  <c r="L125" i="6"/>
  <c r="K125" i="6"/>
  <c r="L124" i="6"/>
  <c r="K124" i="6"/>
  <c r="L123" i="6"/>
  <c r="K123" i="6"/>
  <c r="L122" i="6"/>
  <c r="K122" i="6"/>
  <c r="L121" i="6"/>
  <c r="K121" i="6"/>
  <c r="L120" i="6"/>
  <c r="K120" i="6"/>
  <c r="L119" i="6"/>
  <c r="K119" i="6"/>
  <c r="L118" i="6"/>
  <c r="K118" i="6"/>
  <c r="L117" i="6"/>
  <c r="K117" i="6"/>
  <c r="L116" i="6"/>
  <c r="K116" i="6"/>
  <c r="L115" i="6"/>
  <c r="K115" i="6"/>
  <c r="L114" i="6"/>
  <c r="K114" i="6"/>
  <c r="L113" i="6"/>
  <c r="K113" i="6"/>
  <c r="L112" i="6"/>
  <c r="K112" i="6"/>
  <c r="L111" i="6"/>
  <c r="K111" i="6"/>
  <c r="L110" i="6"/>
  <c r="K110" i="6"/>
  <c r="L109" i="6"/>
  <c r="K109" i="6"/>
  <c r="L108" i="6"/>
  <c r="K108" i="6"/>
  <c r="L107" i="6"/>
  <c r="K107" i="6"/>
  <c r="L106" i="6"/>
  <c r="K106" i="6"/>
  <c r="L105" i="6"/>
  <c r="K105" i="6"/>
  <c r="L104" i="6"/>
  <c r="K104" i="6"/>
  <c r="L103" i="6"/>
  <c r="K103" i="6"/>
  <c r="L102" i="6"/>
  <c r="K102" i="6"/>
  <c r="L101" i="6"/>
  <c r="K101" i="6"/>
  <c r="L100" i="6"/>
  <c r="K100" i="6"/>
  <c r="L99" i="6"/>
  <c r="K99" i="6"/>
  <c r="L98" i="6"/>
  <c r="K98" i="6"/>
  <c r="L97" i="6"/>
  <c r="K97" i="6"/>
  <c r="L96" i="6"/>
  <c r="K96" i="6"/>
  <c r="L95" i="6"/>
  <c r="K95" i="6"/>
  <c r="L94" i="6"/>
  <c r="K94" i="6"/>
  <c r="L93" i="6"/>
  <c r="K93" i="6"/>
  <c r="L92" i="6"/>
  <c r="K92" i="6"/>
  <c r="L91" i="6"/>
  <c r="K91" i="6"/>
  <c r="L90" i="6"/>
  <c r="K90" i="6"/>
  <c r="L89" i="6"/>
  <c r="K89" i="6"/>
  <c r="L88" i="6"/>
  <c r="K88" i="6"/>
  <c r="L87" i="6"/>
  <c r="K87" i="6"/>
  <c r="L86" i="6"/>
  <c r="K86" i="6"/>
  <c r="L85" i="6"/>
  <c r="K85" i="6"/>
  <c r="L84" i="6"/>
  <c r="K84" i="6"/>
  <c r="L83" i="6"/>
  <c r="K83" i="6"/>
  <c r="L82" i="6"/>
  <c r="K82" i="6"/>
  <c r="L81" i="6"/>
  <c r="K81" i="6"/>
  <c r="L80" i="6"/>
  <c r="K80" i="6"/>
  <c r="L79" i="6"/>
  <c r="K79" i="6"/>
  <c r="L78" i="6"/>
  <c r="K78" i="6"/>
  <c r="L77" i="6"/>
  <c r="K77" i="6"/>
  <c r="L76" i="6"/>
  <c r="K76" i="6"/>
  <c r="L75" i="6"/>
  <c r="K75" i="6"/>
  <c r="L74" i="6"/>
  <c r="K74" i="6"/>
  <c r="L73" i="6"/>
  <c r="K73" i="6"/>
  <c r="L72" i="6"/>
  <c r="K72" i="6"/>
  <c r="L71" i="6"/>
  <c r="K71" i="6"/>
  <c r="L70" i="6"/>
  <c r="K70" i="6"/>
  <c r="L69" i="6"/>
  <c r="K69" i="6"/>
  <c r="L68" i="6"/>
  <c r="K68" i="6"/>
  <c r="L67" i="6"/>
  <c r="K67" i="6"/>
  <c r="L66" i="6"/>
  <c r="K66" i="6"/>
  <c r="L65" i="6"/>
  <c r="K65" i="6"/>
  <c r="L64" i="6"/>
  <c r="K64" i="6"/>
  <c r="L63" i="6"/>
  <c r="K63" i="6"/>
  <c r="L62" i="6"/>
  <c r="K62" i="6"/>
  <c r="L61" i="6"/>
  <c r="K61" i="6"/>
  <c r="L60" i="6"/>
  <c r="K60" i="6"/>
  <c r="L59" i="6"/>
  <c r="K59" i="6"/>
  <c r="L58" i="6"/>
  <c r="K58" i="6"/>
  <c r="L57" i="6"/>
  <c r="K57" i="6"/>
  <c r="L56" i="6"/>
  <c r="K56" i="6"/>
  <c r="L55" i="6"/>
  <c r="K55" i="6"/>
  <c r="L54" i="6"/>
  <c r="K54" i="6"/>
  <c r="L53" i="6"/>
  <c r="K53" i="6"/>
  <c r="L52" i="6"/>
  <c r="K52" i="6"/>
  <c r="L51" i="6"/>
  <c r="K51" i="6"/>
  <c r="L50" i="6"/>
  <c r="K50" i="6"/>
  <c r="L49" i="6"/>
  <c r="K49" i="6"/>
  <c r="L48" i="6"/>
  <c r="K48" i="6"/>
  <c r="L47" i="6"/>
  <c r="K47" i="6"/>
  <c r="L46" i="6"/>
  <c r="K46" i="6"/>
  <c r="L45" i="6"/>
  <c r="K45" i="6"/>
  <c r="L44" i="6"/>
  <c r="K44" i="6"/>
  <c r="L43" i="6"/>
  <c r="K43" i="6"/>
  <c r="L42" i="6"/>
  <c r="K42" i="6"/>
  <c r="L41" i="6"/>
  <c r="K41" i="6"/>
  <c r="L40" i="6"/>
  <c r="K40" i="6"/>
  <c r="L39" i="6"/>
  <c r="K39" i="6"/>
  <c r="L38" i="6"/>
  <c r="K38" i="6"/>
  <c r="L37" i="6"/>
  <c r="K37" i="6"/>
  <c r="L36" i="6"/>
  <c r="K36" i="6"/>
  <c r="L35" i="6"/>
  <c r="K35" i="6"/>
  <c r="L34" i="6"/>
  <c r="K34" i="6"/>
  <c r="L33" i="6"/>
  <c r="K33" i="6"/>
  <c r="L32" i="6"/>
  <c r="K32" i="6"/>
  <c r="L31" i="6"/>
  <c r="K31" i="6"/>
  <c r="L30" i="6"/>
  <c r="K30" i="6"/>
  <c r="O29" i="6"/>
  <c r="L29" i="6"/>
  <c r="K29" i="6"/>
  <c r="O28" i="6"/>
  <c r="L28" i="6"/>
  <c r="K28" i="6"/>
  <c r="O27" i="6"/>
  <c r="L27" i="6"/>
  <c r="K27" i="6"/>
  <c r="O26" i="6"/>
  <c r="L26" i="6"/>
  <c r="K26" i="6"/>
  <c r="O25" i="6"/>
  <c r="L25" i="6"/>
  <c r="K25" i="6"/>
  <c r="O24" i="6"/>
  <c r="L24" i="6"/>
  <c r="K24" i="6"/>
  <c r="O23" i="6"/>
  <c r="L23" i="6"/>
  <c r="K23" i="6"/>
  <c r="O22" i="6"/>
  <c r="L22" i="6"/>
  <c r="K22" i="6"/>
  <c r="O21" i="6"/>
  <c r="L21" i="6"/>
  <c r="K21" i="6"/>
  <c r="O20" i="6"/>
  <c r="L20" i="6"/>
  <c r="K20" i="6"/>
  <c r="O19" i="6"/>
  <c r="L19" i="6"/>
  <c r="K19" i="6"/>
  <c r="O18" i="6"/>
  <c r="L18" i="6"/>
  <c r="K18" i="6"/>
  <c r="O17" i="6"/>
  <c r="L17" i="6"/>
  <c r="K17" i="6"/>
  <c r="O16" i="6"/>
  <c r="L16" i="6"/>
  <c r="K16" i="6"/>
  <c r="O15" i="6"/>
  <c r="L15" i="6"/>
  <c r="K15" i="6"/>
  <c r="O14" i="6"/>
  <c r="L14" i="6"/>
  <c r="K14" i="6"/>
  <c r="O13" i="6"/>
  <c r="L13" i="6"/>
  <c r="K13" i="6"/>
  <c r="O12" i="6"/>
  <c r="L12" i="6"/>
  <c r="K12" i="6"/>
  <c r="O11" i="6"/>
  <c r="L11" i="6"/>
  <c r="K11" i="6"/>
  <c r="O10" i="6"/>
  <c r="L10" i="6"/>
  <c r="K10" i="6"/>
  <c r="O9" i="6"/>
  <c r="L9" i="6"/>
  <c r="K9" i="6"/>
  <c r="O8" i="6"/>
  <c r="L8" i="6"/>
  <c r="K8" i="6"/>
  <c r="O7" i="6"/>
  <c r="L7" i="6"/>
  <c r="K7" i="6"/>
  <c r="CD39" i="2"/>
  <c r="CC39" i="2"/>
  <c r="CD38" i="2"/>
  <c r="CC38" i="2"/>
  <c r="CE38" i="2" s="1"/>
  <c r="CD37" i="2"/>
  <c r="CC37" i="2"/>
  <c r="CD36" i="2"/>
  <c r="CC36" i="2"/>
  <c r="CE36" i="2" s="1"/>
  <c r="CD35" i="2"/>
  <c r="CC35" i="2"/>
  <c r="CD34" i="2"/>
  <c r="CC34" i="2"/>
  <c r="CE34" i="2" s="1"/>
  <c r="CB34" i="2"/>
  <c r="CD33" i="2"/>
  <c r="CC33" i="2"/>
  <c r="CD32" i="2"/>
  <c r="CC32" i="2"/>
  <c r="CD31" i="2"/>
  <c r="CC31" i="2"/>
  <c r="CD30" i="2"/>
  <c r="CC30" i="2"/>
  <c r="CE30" i="2" s="1"/>
  <c r="CD29" i="2"/>
  <c r="CC29" i="2"/>
  <c r="CE28" i="2"/>
  <c r="CD28" i="2"/>
  <c r="CC28" i="2"/>
  <c r="CD27" i="2"/>
  <c r="CC27" i="2"/>
  <c r="CD26" i="2"/>
  <c r="CC26" i="2"/>
  <c r="CD25" i="2"/>
  <c r="CC25" i="2"/>
  <c r="CE25" i="2" s="1"/>
  <c r="CB23" i="2" s="1"/>
  <c r="CE23" i="2" s="1"/>
  <c r="CD24" i="2"/>
  <c r="CC24" i="2"/>
  <c r="CD23" i="2"/>
  <c r="CC23" i="2"/>
  <c r="CD22" i="2"/>
  <c r="CC22" i="2"/>
  <c r="CD21" i="2"/>
  <c r="CC21" i="2"/>
  <c r="CD20" i="2"/>
  <c r="CC20" i="2"/>
  <c r="CE20" i="2" s="1"/>
  <c r="CD19" i="2"/>
  <c r="CC19" i="2"/>
  <c r="CC18" i="2"/>
  <c r="CE18" i="2" s="1"/>
  <c r="CC17" i="2"/>
  <c r="CE17" i="2" s="1"/>
  <c r="CB19" i="2" s="1"/>
  <c r="CE19" i="2" s="1"/>
  <c r="CE35" i="2" l="1"/>
  <c r="CE33" i="2"/>
  <c r="CE26" i="2"/>
  <c r="CB21" i="2" s="1"/>
  <c r="CE21" i="2" s="1"/>
  <c r="CE24" i="2"/>
  <c r="CB22" i="2"/>
  <c r="CE22" i="2" s="1"/>
  <c r="CB27" i="2" s="1"/>
  <c r="CE27" i="2" s="1"/>
  <c r="CB29" i="2" s="1"/>
  <c r="CE29" i="2" s="1"/>
  <c r="CB37" i="2" s="1"/>
  <c r="CE37" i="2" s="1"/>
  <c r="CB31" i="2" s="1"/>
  <c r="CE31" i="2" s="1"/>
  <c r="CB39" i="2" s="1"/>
  <c r="CE39" i="2" s="1"/>
  <c r="CB32" i="2" s="1"/>
  <c r="CE32" i="2" s="1"/>
</calcChain>
</file>

<file path=xl/sharedStrings.xml><?xml version="1.0" encoding="utf-8"?>
<sst xmlns="http://schemas.openxmlformats.org/spreadsheetml/2006/main" count="253" uniqueCount="98">
  <si>
    <t>NonStorage16_NonStorage13</t>
  </si>
  <si>
    <t>NonStorage16_Municipal</t>
  </si>
  <si>
    <t>NonStorage11_NonStorage14</t>
  </si>
  <si>
    <t>NonStorage11_OffLineRes</t>
  </si>
  <si>
    <t>OffLineRes_NonStorage13</t>
  </si>
  <si>
    <t>NonStorage12_OffLineRes</t>
  </si>
  <si>
    <t>NonStorage13_NonStorage17</t>
  </si>
  <si>
    <t>NonStorage14_NonStorage16</t>
  </si>
  <si>
    <t>NonStorage9_NonStorage8</t>
  </si>
  <si>
    <t>NonStorage8_NonStorage11</t>
  </si>
  <si>
    <t>NonStorage_NonStorage1</t>
  </si>
  <si>
    <t>NonStorage7_NonStorage8</t>
  </si>
  <si>
    <t>NonStorage4_NonStorage3</t>
  </si>
  <si>
    <t>NonStorage2_NonStorage1</t>
  </si>
  <si>
    <t>NonStorage6_NonStorage19</t>
  </si>
  <si>
    <t>NonStorage1_NonStorage3</t>
  </si>
  <si>
    <t>NonStorage19_NonStorage7</t>
  </si>
  <si>
    <t>NonStorage3_NonStorage18</t>
  </si>
  <si>
    <t>NonStorage10_NonStorage7</t>
  </si>
  <si>
    <t>NonStorage15_NonStorage14</t>
  </si>
  <si>
    <t>NonStorage21_NonStorage15</t>
  </si>
  <si>
    <t>NonStorage20_NonStorage15</t>
  </si>
  <si>
    <t>ResRelease</t>
  </si>
  <si>
    <t>Diversion</t>
  </si>
  <si>
    <t>iseg</t>
  </si>
  <si>
    <t>Link Name</t>
  </si>
  <si>
    <t>NonStorage5_NonStorage19</t>
  </si>
  <si>
    <t>myModel.FindLink("NonStorage20_NonStorage15").mlInfo.flow</t>
  </si>
  <si>
    <t>*</t>
  </si>
  <si>
    <t>uConvToMODFLOW</t>
  </si>
  <si>
    <t>/</t>
  </si>
  <si>
    <t>accuracy</t>
  </si>
  <si>
    <t>myModel.FindLink("NonStorage21_NonStorage15").mlInfo.flow</t>
  </si>
  <si>
    <t>myModel.FindLink("NonStorage15_NonStorage14").mlInfo.flow</t>
  </si>
  <si>
    <t>myModel.FindLink("NonStorage10_NonStorage7").mlInfo.flow</t>
  </si>
  <si>
    <t>myModel.FindLink("NonStorage3_NonStorage18").mlInfo.flow</t>
  </si>
  <si>
    <t>myModel.FindLink("NonStorage19_NonStorage7").mlInfo.flow</t>
  </si>
  <si>
    <t>myModel.FindLink("NonStorage1_NonStorage3").mlInfo.flow</t>
  </si>
  <si>
    <t>myModel.FindLink("NonStorage6_NonStorage19").mlInfo.flow</t>
  </si>
  <si>
    <t>myModel.FindLink("NonStorage2_NonStorage1").mlInfo.flow</t>
  </si>
  <si>
    <t>myModel.FindLink("NonStorage4_NonStorage3").mlInfo.flow</t>
  </si>
  <si>
    <t>myModel.FindLink("NonStorage7_NonStorage8").mlInfo.flow</t>
  </si>
  <si>
    <t>myModel.FindLink("NonStorage_NonStorage1").mlInfo.flow</t>
  </si>
  <si>
    <t>myModel.FindLink("NonStorage8_NonStorage11").mlInfo.flow</t>
  </si>
  <si>
    <t>myModel.FindLink("NonStorage9_NonStorage8").mlInfo.flow</t>
  </si>
  <si>
    <t>myModel.FindLink("NonStorage14_NonStorage16").mlInfo.flow</t>
  </si>
  <si>
    <t>myModel.FindLink("NonStorage13_NonStorage17").mlInfo.flow</t>
  </si>
  <si>
    <t>myModel.FindLink("NonStorage12_OffLineRes").mlInfo.flow</t>
  </si>
  <si>
    <t>myModel.FindLink("NonStorage5_NonStorage19").mlInfo.flow</t>
  </si>
  <si>
    <t>myModel.FindLink("OffLineRes_NonStorage13").mlInfo.flow</t>
  </si>
  <si>
    <t>myModel.FindLink("NonStorage11_OffLineRes").mlInfo.flow</t>
  </si>
  <si>
    <t>myModel.FindLink("NonStorage11_NonStorage14").mlInfo.flow</t>
  </si>
  <si>
    <t>myModel.FindLink("NonStorage16_Municipal").mlInfo.flow</t>
  </si>
  <si>
    <t>myModel.FindLink("NonStorage16_NonStorage13").mlInfo.flow</t>
  </si>
  <si>
    <t>Flow From Upstream</t>
  </si>
  <si>
    <t>Accretion</t>
  </si>
  <si>
    <t>Depletion</t>
  </si>
  <si>
    <t>flow Upstream</t>
  </si>
  <si>
    <t>Acc</t>
  </si>
  <si>
    <t>Dep</t>
  </si>
  <si>
    <t>Total Out</t>
  </si>
  <si>
    <t>STRM(9</t>
  </si>
  <si>
    <t>REAL(4)</t>
  </si>
  <si>
    <t>5)</t>
  </si>
  <si>
    <t>8)</t>
  </si>
  <si>
    <t>26)</t>
  </si>
  <si>
    <t>38)</t>
  </si>
  <si>
    <t>46)</t>
  </si>
  <si>
    <t>55)</t>
  </si>
  <si>
    <t>59)</t>
  </si>
  <si>
    <t>78)</t>
  </si>
  <si>
    <t>87)</t>
  </si>
  <si>
    <t>111)</t>
  </si>
  <si>
    <t>119)</t>
  </si>
  <si>
    <t>144)</t>
  </si>
  <si>
    <t>148)</t>
  </si>
  <si>
    <t>157)</t>
  </si>
  <si>
    <t>158)</t>
  </si>
  <si>
    <t>160)</t>
  </si>
  <si>
    <t>174)</t>
  </si>
  <si>
    <t>177)</t>
  </si>
  <si>
    <t>179)</t>
  </si>
  <si>
    <t>185)</t>
  </si>
  <si>
    <t>190)</t>
  </si>
  <si>
    <t>196)</t>
  </si>
  <si>
    <t>201)</t>
  </si>
  <si>
    <t>ID</t>
  </si>
  <si>
    <t>Seg</t>
  </si>
  <si>
    <t>Rch</t>
  </si>
  <si>
    <t>Data</t>
  </si>
  <si>
    <t>Res 1 Release</t>
  </si>
  <si>
    <t>Res 1 Q Thru</t>
  </si>
  <si>
    <t>myModel.FindLink("NonStorage13_InStreamFlow").mlInfo.flow</t>
  </si>
  <si>
    <t>myModel.FindLink("NonStorage17_Sink").mlInfo.flow</t>
  </si>
  <si>
    <t>I suspect this will affect reservoir operations as it could impact the diversion to the municipal demand</t>
  </si>
  <si>
    <t>I suspect this will affect all operations as it would be expected to significantly impact the minimum instream flow requirement</t>
  </si>
  <si>
    <t>"BT39"</t>
  </si>
  <si>
    <t>"BW41"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</si>
</sst>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1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131380</xdr:colOff>
      <xdr:row>38</xdr:row>
      <xdr:rowOff>93426</xdr:rowOff>
    </xdr:from>
    <xdr:to>
      <xdr:col>69</xdr:col>
      <xdr:colOff>131380</xdr:colOff>
      <xdr:row>38</xdr:row>
      <xdr:rowOff>96345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89156830-2463-4DF7-A171-F91E83CC35A9}"/>
            </a:ext>
          </a:extLst>
        </xdr:cNvPr>
        <xdr:cNvCxnSpPr/>
      </xdr:nvCxnSpPr>
      <xdr:spPr>
        <a:xfrm>
          <a:off x="16343587" y="6971863"/>
          <a:ext cx="280276" cy="2919"/>
        </a:xfrm>
        <a:prstGeom prst="straightConnector1">
          <a:avLst/>
        </a:prstGeom>
        <a:ln>
          <a:solidFill>
            <a:schemeClr val="tx1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269181</xdr:colOff>
      <xdr:row>37</xdr:row>
      <xdr:rowOff>140137</xdr:rowOff>
    </xdr:from>
    <xdr:to>
      <xdr:col>70</xdr:col>
      <xdr:colOff>172252</xdr:colOff>
      <xdr:row>38</xdr:row>
      <xdr:rowOff>105688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08E526F-277D-4548-A84D-16FD5A89F689}"/>
            </a:ext>
          </a:extLst>
        </xdr:cNvPr>
        <xdr:cNvCxnSpPr/>
      </xdr:nvCxnSpPr>
      <xdr:spPr>
        <a:xfrm flipV="1">
          <a:off x="16761664" y="6837563"/>
          <a:ext cx="183347" cy="146562"/>
        </a:xfrm>
        <a:prstGeom prst="straightConnector1">
          <a:avLst/>
        </a:prstGeom>
        <a:ln>
          <a:solidFill>
            <a:schemeClr val="tx1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265678</xdr:colOff>
      <xdr:row>38</xdr:row>
      <xdr:rowOff>93426</xdr:rowOff>
    </xdr:from>
    <xdr:to>
      <xdr:col>71</xdr:col>
      <xdr:colOff>140138</xdr:colOff>
      <xdr:row>39</xdr:row>
      <xdr:rowOff>64230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BE062CCE-1E72-4C88-B857-6430C3B29675}"/>
            </a:ext>
          </a:extLst>
        </xdr:cNvPr>
        <xdr:cNvCxnSpPr/>
      </xdr:nvCxnSpPr>
      <xdr:spPr>
        <a:xfrm>
          <a:off x="16758161" y="6971863"/>
          <a:ext cx="435011" cy="151815"/>
        </a:xfrm>
        <a:prstGeom prst="straightConnector1">
          <a:avLst/>
        </a:prstGeom>
        <a:ln>
          <a:solidFill>
            <a:schemeClr val="tx1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01"/>
  <sheetViews>
    <sheetView workbookViewId="0"/>
  </sheetViews>
  <sheetFormatPr defaultRowHeight="14.35" x14ac:dyDescent="0.5"/>
  <sheetData>
    <row r="1" spans="1:4" x14ac:dyDescent="0.5">
      <c r="A1">
        <v>2</v>
      </c>
      <c r="B1">
        <v>18</v>
      </c>
      <c r="C1">
        <v>62</v>
      </c>
      <c r="D1">
        <v>1</v>
      </c>
    </row>
    <row r="2" spans="1:4" x14ac:dyDescent="0.5">
      <c r="A2">
        <v>2</v>
      </c>
      <c r="B2">
        <v>19</v>
      </c>
      <c r="C2">
        <v>63</v>
      </c>
      <c r="D2">
        <v>1</v>
      </c>
    </row>
    <row r="3" spans="1:4" x14ac:dyDescent="0.5">
      <c r="A3">
        <v>2</v>
      </c>
      <c r="B3">
        <v>20</v>
      </c>
      <c r="C3">
        <v>64</v>
      </c>
      <c r="D3">
        <v>1</v>
      </c>
    </row>
    <row r="4" spans="1:4" x14ac:dyDescent="0.5">
      <c r="A4">
        <v>2</v>
      </c>
      <c r="B4">
        <v>21</v>
      </c>
      <c r="C4">
        <v>64</v>
      </c>
      <c r="D4">
        <v>1</v>
      </c>
    </row>
    <row r="5" spans="1:4" x14ac:dyDescent="0.5">
      <c r="A5">
        <v>2</v>
      </c>
      <c r="B5">
        <v>22</v>
      </c>
      <c r="C5">
        <v>65</v>
      </c>
      <c r="D5">
        <v>1</v>
      </c>
    </row>
    <row r="6" spans="1:4" x14ac:dyDescent="0.5">
      <c r="A6">
        <v>2</v>
      </c>
      <c r="B6">
        <v>20</v>
      </c>
      <c r="C6">
        <v>66</v>
      </c>
      <c r="D6">
        <v>2</v>
      </c>
    </row>
    <row r="7" spans="1:4" x14ac:dyDescent="0.5">
      <c r="A7">
        <v>2</v>
      </c>
      <c r="B7">
        <v>21</v>
      </c>
      <c r="C7">
        <v>65</v>
      </c>
      <c r="D7">
        <v>2</v>
      </c>
    </row>
    <row r="8" spans="1:4" x14ac:dyDescent="0.5">
      <c r="A8">
        <v>2</v>
      </c>
      <c r="B8">
        <v>22</v>
      </c>
      <c r="C8">
        <v>65</v>
      </c>
      <c r="D8">
        <v>2</v>
      </c>
    </row>
    <row r="9" spans="1:4" x14ac:dyDescent="0.5">
      <c r="A9">
        <v>2</v>
      </c>
      <c r="B9">
        <v>22</v>
      </c>
      <c r="C9">
        <v>65</v>
      </c>
      <c r="D9">
        <v>3</v>
      </c>
    </row>
    <row r="10" spans="1:4" x14ac:dyDescent="0.5">
      <c r="A10">
        <v>2</v>
      </c>
      <c r="B10">
        <v>23</v>
      </c>
      <c r="C10">
        <v>65</v>
      </c>
      <c r="D10">
        <v>3</v>
      </c>
    </row>
    <row r="11" spans="1:4" x14ac:dyDescent="0.5">
      <c r="A11">
        <v>2</v>
      </c>
      <c r="B11">
        <v>24</v>
      </c>
      <c r="C11">
        <v>66</v>
      </c>
      <c r="D11">
        <v>3</v>
      </c>
    </row>
    <row r="12" spans="1:4" x14ac:dyDescent="0.5">
      <c r="A12">
        <v>2</v>
      </c>
      <c r="B12">
        <v>25</v>
      </c>
      <c r="C12">
        <v>67</v>
      </c>
      <c r="D12">
        <v>3</v>
      </c>
    </row>
    <row r="13" spans="1:4" x14ac:dyDescent="0.5">
      <c r="A13">
        <v>2</v>
      </c>
      <c r="B13">
        <v>26</v>
      </c>
      <c r="C13">
        <v>68</v>
      </c>
      <c r="D13">
        <v>3</v>
      </c>
    </row>
    <row r="14" spans="1:4" x14ac:dyDescent="0.5">
      <c r="A14">
        <v>2</v>
      </c>
      <c r="B14">
        <v>27</v>
      </c>
      <c r="C14">
        <v>68</v>
      </c>
      <c r="D14">
        <v>3</v>
      </c>
    </row>
    <row r="15" spans="1:4" x14ac:dyDescent="0.5">
      <c r="A15">
        <v>2</v>
      </c>
      <c r="B15">
        <v>28</v>
      </c>
      <c r="C15">
        <v>69</v>
      </c>
      <c r="D15">
        <v>3</v>
      </c>
    </row>
    <row r="16" spans="1:4" x14ac:dyDescent="0.5">
      <c r="A16">
        <v>2</v>
      </c>
      <c r="B16">
        <v>29</v>
      </c>
      <c r="C16">
        <v>69</v>
      </c>
      <c r="D16">
        <v>3</v>
      </c>
    </row>
    <row r="17" spans="1:4" x14ac:dyDescent="0.5">
      <c r="A17">
        <v>2</v>
      </c>
      <c r="B17">
        <v>30</v>
      </c>
      <c r="C17">
        <v>69</v>
      </c>
      <c r="D17">
        <v>3</v>
      </c>
    </row>
    <row r="18" spans="1:4" x14ac:dyDescent="0.5">
      <c r="A18">
        <v>2</v>
      </c>
      <c r="B18">
        <v>31</v>
      </c>
      <c r="C18">
        <v>70</v>
      </c>
      <c r="D18">
        <v>3</v>
      </c>
    </row>
    <row r="19" spans="1:4" x14ac:dyDescent="0.5">
      <c r="A19">
        <v>2</v>
      </c>
      <c r="B19">
        <v>32</v>
      </c>
      <c r="C19">
        <v>70</v>
      </c>
      <c r="D19">
        <v>3</v>
      </c>
    </row>
    <row r="20" spans="1:4" x14ac:dyDescent="0.5">
      <c r="A20">
        <v>2</v>
      </c>
      <c r="B20">
        <v>33</v>
      </c>
      <c r="C20">
        <v>70</v>
      </c>
      <c r="D20">
        <v>3</v>
      </c>
    </row>
    <row r="21" spans="1:4" x14ac:dyDescent="0.5">
      <c r="A21">
        <v>2</v>
      </c>
      <c r="B21">
        <v>34</v>
      </c>
      <c r="C21">
        <v>69</v>
      </c>
      <c r="D21">
        <v>3</v>
      </c>
    </row>
    <row r="22" spans="1:4" x14ac:dyDescent="0.5">
      <c r="A22">
        <v>2</v>
      </c>
      <c r="B22">
        <v>35</v>
      </c>
      <c r="C22">
        <v>69</v>
      </c>
      <c r="D22">
        <v>3</v>
      </c>
    </row>
    <row r="23" spans="1:4" x14ac:dyDescent="0.5">
      <c r="A23">
        <v>2</v>
      </c>
      <c r="B23">
        <v>36</v>
      </c>
      <c r="C23">
        <v>69</v>
      </c>
      <c r="D23">
        <v>3</v>
      </c>
    </row>
    <row r="24" spans="1:4" x14ac:dyDescent="0.5">
      <c r="A24">
        <v>2</v>
      </c>
      <c r="B24">
        <v>37</v>
      </c>
      <c r="C24">
        <v>69</v>
      </c>
      <c r="D24">
        <v>3</v>
      </c>
    </row>
    <row r="25" spans="1:4" x14ac:dyDescent="0.5">
      <c r="A25">
        <v>2</v>
      </c>
      <c r="B25">
        <v>38</v>
      </c>
      <c r="C25">
        <v>69</v>
      </c>
      <c r="D25">
        <v>3</v>
      </c>
    </row>
    <row r="26" spans="1:4" x14ac:dyDescent="0.5">
      <c r="A26">
        <v>2</v>
      </c>
      <c r="B26">
        <v>39</v>
      </c>
      <c r="C26">
        <v>70</v>
      </c>
      <c r="D26">
        <v>3</v>
      </c>
    </row>
    <row r="27" spans="1:4" x14ac:dyDescent="0.5">
      <c r="A27">
        <v>2</v>
      </c>
      <c r="B27">
        <v>25</v>
      </c>
      <c r="C27">
        <v>49</v>
      </c>
      <c r="D27">
        <v>4</v>
      </c>
    </row>
    <row r="28" spans="1:4" x14ac:dyDescent="0.5">
      <c r="A28">
        <v>2</v>
      </c>
      <c r="B28">
        <v>26</v>
      </c>
      <c r="C28">
        <v>50</v>
      </c>
      <c r="D28">
        <v>4</v>
      </c>
    </row>
    <row r="29" spans="1:4" x14ac:dyDescent="0.5">
      <c r="A29">
        <v>2</v>
      </c>
      <c r="B29">
        <v>27</v>
      </c>
      <c r="C29">
        <v>51</v>
      </c>
      <c r="D29">
        <v>4</v>
      </c>
    </row>
    <row r="30" spans="1:4" x14ac:dyDescent="0.5">
      <c r="A30">
        <v>2</v>
      </c>
      <c r="B30">
        <v>28</v>
      </c>
      <c r="C30">
        <v>51</v>
      </c>
      <c r="D30">
        <v>4</v>
      </c>
    </row>
    <row r="31" spans="1:4" x14ac:dyDescent="0.5">
      <c r="A31">
        <v>2</v>
      </c>
      <c r="B31">
        <v>29</v>
      </c>
      <c r="C31">
        <v>52</v>
      </c>
      <c r="D31">
        <v>4</v>
      </c>
    </row>
    <row r="32" spans="1:4" x14ac:dyDescent="0.5">
      <c r="A32">
        <v>2</v>
      </c>
      <c r="B32">
        <v>30</v>
      </c>
      <c r="C32">
        <v>52</v>
      </c>
      <c r="D32">
        <v>4</v>
      </c>
    </row>
    <row r="33" spans="1:4" x14ac:dyDescent="0.5">
      <c r="A33">
        <v>2</v>
      </c>
      <c r="B33">
        <v>31</v>
      </c>
      <c r="C33">
        <v>52</v>
      </c>
      <c r="D33">
        <v>4</v>
      </c>
    </row>
    <row r="34" spans="1:4" x14ac:dyDescent="0.5">
      <c r="A34">
        <v>2</v>
      </c>
      <c r="B34">
        <v>32</v>
      </c>
      <c r="C34">
        <v>52</v>
      </c>
      <c r="D34">
        <v>4</v>
      </c>
    </row>
    <row r="35" spans="1:4" x14ac:dyDescent="0.5">
      <c r="A35">
        <v>2</v>
      </c>
      <c r="B35">
        <v>33</v>
      </c>
      <c r="C35">
        <v>53</v>
      </c>
      <c r="D35">
        <v>4</v>
      </c>
    </row>
    <row r="36" spans="1:4" x14ac:dyDescent="0.5">
      <c r="A36">
        <v>2</v>
      </c>
      <c r="B36">
        <v>34</v>
      </c>
      <c r="C36">
        <v>54</v>
      </c>
      <c r="D36">
        <v>4</v>
      </c>
    </row>
    <row r="37" spans="1:4" x14ac:dyDescent="0.5">
      <c r="A37">
        <v>2</v>
      </c>
      <c r="B37">
        <v>35</v>
      </c>
      <c r="C37">
        <v>55</v>
      </c>
      <c r="D37">
        <v>4</v>
      </c>
    </row>
    <row r="38" spans="1:4" x14ac:dyDescent="0.5">
      <c r="A38">
        <v>2</v>
      </c>
      <c r="B38">
        <v>36</v>
      </c>
      <c r="C38">
        <v>55</v>
      </c>
      <c r="D38">
        <v>4</v>
      </c>
    </row>
    <row r="39" spans="1:4" x14ac:dyDescent="0.5">
      <c r="A39">
        <v>2</v>
      </c>
      <c r="B39">
        <v>35</v>
      </c>
      <c r="C39">
        <v>37</v>
      </c>
      <c r="D39">
        <v>5</v>
      </c>
    </row>
    <row r="40" spans="1:4" x14ac:dyDescent="0.5">
      <c r="A40">
        <v>2</v>
      </c>
      <c r="B40">
        <v>34</v>
      </c>
      <c r="C40">
        <v>38</v>
      </c>
      <c r="D40">
        <v>5</v>
      </c>
    </row>
    <row r="41" spans="1:4" x14ac:dyDescent="0.5">
      <c r="A41">
        <v>2</v>
      </c>
      <c r="B41">
        <v>33</v>
      </c>
      <c r="C41">
        <v>39</v>
      </c>
      <c r="D41">
        <v>5</v>
      </c>
    </row>
    <row r="42" spans="1:4" x14ac:dyDescent="0.5">
      <c r="A42">
        <v>2</v>
      </c>
      <c r="B42">
        <v>32</v>
      </c>
      <c r="C42">
        <v>40</v>
      </c>
      <c r="D42">
        <v>5</v>
      </c>
    </row>
    <row r="43" spans="1:4" x14ac:dyDescent="0.5">
      <c r="A43">
        <v>2</v>
      </c>
      <c r="B43">
        <v>32</v>
      </c>
      <c r="C43">
        <v>41</v>
      </c>
      <c r="D43">
        <v>5</v>
      </c>
    </row>
    <row r="44" spans="1:4" x14ac:dyDescent="0.5">
      <c r="A44">
        <v>2</v>
      </c>
      <c r="B44">
        <v>32</v>
      </c>
      <c r="C44">
        <v>42</v>
      </c>
      <c r="D44">
        <v>5</v>
      </c>
    </row>
    <row r="45" spans="1:4" x14ac:dyDescent="0.5">
      <c r="A45">
        <v>2</v>
      </c>
      <c r="B45">
        <v>32</v>
      </c>
      <c r="C45">
        <v>43</v>
      </c>
      <c r="D45">
        <v>5</v>
      </c>
    </row>
    <row r="46" spans="1:4" x14ac:dyDescent="0.5">
      <c r="A46">
        <v>2</v>
      </c>
      <c r="B46">
        <v>33</v>
      </c>
      <c r="C46">
        <v>44</v>
      </c>
      <c r="D46">
        <v>5</v>
      </c>
    </row>
    <row r="47" spans="1:4" x14ac:dyDescent="0.5">
      <c r="A47">
        <v>2</v>
      </c>
      <c r="B47">
        <v>34</v>
      </c>
      <c r="C47">
        <v>45</v>
      </c>
      <c r="D47">
        <v>18</v>
      </c>
    </row>
    <row r="48" spans="1:4" x14ac:dyDescent="0.5">
      <c r="A48">
        <v>2</v>
      </c>
      <c r="B48">
        <v>34</v>
      </c>
      <c r="C48">
        <v>46</v>
      </c>
      <c r="D48">
        <v>18</v>
      </c>
    </row>
    <row r="49" spans="1:4" x14ac:dyDescent="0.5">
      <c r="A49">
        <v>2</v>
      </c>
      <c r="B49">
        <v>34</v>
      </c>
      <c r="C49">
        <v>47</v>
      </c>
      <c r="D49">
        <v>18</v>
      </c>
    </row>
    <row r="50" spans="1:4" x14ac:dyDescent="0.5">
      <c r="A50">
        <v>2</v>
      </c>
      <c r="B50">
        <v>34</v>
      </c>
      <c r="C50">
        <v>47</v>
      </c>
      <c r="D50">
        <v>6</v>
      </c>
    </row>
    <row r="51" spans="1:4" x14ac:dyDescent="0.5">
      <c r="A51">
        <v>2</v>
      </c>
      <c r="B51">
        <v>34</v>
      </c>
      <c r="C51">
        <v>48</v>
      </c>
      <c r="D51">
        <v>6</v>
      </c>
    </row>
    <row r="52" spans="1:4" x14ac:dyDescent="0.5">
      <c r="A52">
        <v>2</v>
      </c>
      <c r="B52">
        <v>35</v>
      </c>
      <c r="C52">
        <v>49</v>
      </c>
      <c r="D52">
        <v>6</v>
      </c>
    </row>
    <row r="53" spans="1:4" x14ac:dyDescent="0.5">
      <c r="A53">
        <v>2</v>
      </c>
      <c r="B53">
        <v>35</v>
      </c>
      <c r="C53">
        <v>50</v>
      </c>
      <c r="D53">
        <v>6</v>
      </c>
    </row>
    <row r="54" spans="1:4" x14ac:dyDescent="0.5">
      <c r="A54">
        <v>2</v>
      </c>
      <c r="B54">
        <v>35</v>
      </c>
      <c r="C54">
        <v>51</v>
      </c>
      <c r="D54">
        <v>6</v>
      </c>
    </row>
    <row r="55" spans="1:4" x14ac:dyDescent="0.5">
      <c r="A55">
        <v>2</v>
      </c>
      <c r="B55">
        <v>36</v>
      </c>
      <c r="C55">
        <v>52</v>
      </c>
      <c r="D55">
        <v>6</v>
      </c>
    </row>
    <row r="56" spans="1:4" x14ac:dyDescent="0.5">
      <c r="A56">
        <v>2</v>
      </c>
      <c r="B56">
        <v>36</v>
      </c>
      <c r="C56">
        <v>53</v>
      </c>
      <c r="D56">
        <v>6</v>
      </c>
    </row>
    <row r="57" spans="1:4" x14ac:dyDescent="0.5">
      <c r="A57">
        <v>2</v>
      </c>
      <c r="B57">
        <v>37</v>
      </c>
      <c r="C57">
        <v>54</v>
      </c>
      <c r="D57">
        <v>6</v>
      </c>
    </row>
    <row r="58" spans="1:4" x14ac:dyDescent="0.5">
      <c r="A58">
        <v>2</v>
      </c>
      <c r="B58">
        <v>36</v>
      </c>
      <c r="C58">
        <v>55</v>
      </c>
      <c r="D58">
        <v>6</v>
      </c>
    </row>
    <row r="59" spans="1:4" x14ac:dyDescent="0.5">
      <c r="A59">
        <v>2</v>
      </c>
      <c r="B59">
        <v>36</v>
      </c>
      <c r="C59">
        <v>34</v>
      </c>
      <c r="D59">
        <v>7</v>
      </c>
    </row>
    <row r="60" spans="1:4" x14ac:dyDescent="0.5">
      <c r="A60">
        <v>2</v>
      </c>
      <c r="B60">
        <v>35</v>
      </c>
      <c r="C60">
        <v>35</v>
      </c>
      <c r="D60">
        <v>7</v>
      </c>
    </row>
    <row r="61" spans="1:4" x14ac:dyDescent="0.5">
      <c r="A61">
        <v>2</v>
      </c>
      <c r="B61">
        <v>35</v>
      </c>
      <c r="C61">
        <v>36</v>
      </c>
      <c r="D61">
        <v>7</v>
      </c>
    </row>
    <row r="62" spans="1:4" x14ac:dyDescent="0.5">
      <c r="A62">
        <v>2</v>
      </c>
      <c r="B62">
        <v>35</v>
      </c>
      <c r="C62">
        <v>37</v>
      </c>
      <c r="D62">
        <v>7</v>
      </c>
    </row>
    <row r="63" spans="1:4" x14ac:dyDescent="0.5">
      <c r="A63">
        <v>2</v>
      </c>
      <c r="B63">
        <v>52</v>
      </c>
      <c r="C63">
        <v>49</v>
      </c>
      <c r="D63">
        <v>8</v>
      </c>
    </row>
    <row r="64" spans="1:4" x14ac:dyDescent="0.5">
      <c r="A64">
        <v>2</v>
      </c>
      <c r="B64">
        <v>51</v>
      </c>
      <c r="C64">
        <v>48</v>
      </c>
      <c r="D64">
        <v>8</v>
      </c>
    </row>
    <row r="65" spans="1:4" x14ac:dyDescent="0.5">
      <c r="A65">
        <v>2</v>
      </c>
      <c r="B65">
        <v>50</v>
      </c>
      <c r="C65">
        <v>47</v>
      </c>
      <c r="D65">
        <v>8</v>
      </c>
    </row>
    <row r="66" spans="1:4" x14ac:dyDescent="0.5">
      <c r="A66">
        <v>2</v>
      </c>
      <c r="B66">
        <v>49</v>
      </c>
      <c r="C66">
        <v>47</v>
      </c>
      <c r="D66">
        <v>8</v>
      </c>
    </row>
    <row r="67" spans="1:4" x14ac:dyDescent="0.5">
      <c r="A67">
        <v>2</v>
      </c>
      <c r="B67">
        <v>48</v>
      </c>
      <c r="C67">
        <v>46</v>
      </c>
      <c r="D67">
        <v>8</v>
      </c>
    </row>
    <row r="68" spans="1:4" x14ac:dyDescent="0.5">
      <c r="A68">
        <v>2</v>
      </c>
      <c r="B68">
        <v>47</v>
      </c>
      <c r="C68">
        <v>46</v>
      </c>
      <c r="D68">
        <v>8</v>
      </c>
    </row>
    <row r="69" spans="1:4" x14ac:dyDescent="0.5">
      <c r="A69">
        <v>2</v>
      </c>
      <c r="B69">
        <v>46</v>
      </c>
      <c r="C69">
        <v>46</v>
      </c>
      <c r="D69">
        <v>8</v>
      </c>
    </row>
    <row r="70" spans="1:4" x14ac:dyDescent="0.5">
      <c r="A70">
        <v>2</v>
      </c>
      <c r="B70">
        <v>45</v>
      </c>
      <c r="C70">
        <v>46</v>
      </c>
      <c r="D70">
        <v>8</v>
      </c>
    </row>
    <row r="71" spans="1:4" x14ac:dyDescent="0.5">
      <c r="A71">
        <v>2</v>
      </c>
      <c r="B71">
        <v>44</v>
      </c>
      <c r="C71">
        <v>46</v>
      </c>
      <c r="D71">
        <v>8</v>
      </c>
    </row>
    <row r="72" spans="1:4" x14ac:dyDescent="0.5">
      <c r="A72">
        <v>2</v>
      </c>
      <c r="B72">
        <v>43</v>
      </c>
      <c r="C72">
        <v>46</v>
      </c>
      <c r="D72">
        <v>8</v>
      </c>
    </row>
    <row r="73" spans="1:4" x14ac:dyDescent="0.5">
      <c r="A73">
        <v>2</v>
      </c>
      <c r="B73">
        <v>42</v>
      </c>
      <c r="C73">
        <v>46</v>
      </c>
      <c r="D73">
        <v>8</v>
      </c>
    </row>
    <row r="74" spans="1:4" x14ac:dyDescent="0.5">
      <c r="A74">
        <v>2</v>
      </c>
      <c r="B74">
        <v>41</v>
      </c>
      <c r="C74">
        <v>45</v>
      </c>
      <c r="D74">
        <v>8</v>
      </c>
    </row>
    <row r="75" spans="1:4" x14ac:dyDescent="0.5">
      <c r="A75">
        <v>2</v>
      </c>
      <c r="B75">
        <v>40</v>
      </c>
      <c r="C75">
        <v>45</v>
      </c>
      <c r="D75">
        <v>8</v>
      </c>
    </row>
    <row r="76" spans="1:4" x14ac:dyDescent="0.5">
      <c r="A76">
        <v>2</v>
      </c>
      <c r="B76">
        <v>39</v>
      </c>
      <c r="C76">
        <v>45</v>
      </c>
      <c r="D76">
        <v>8</v>
      </c>
    </row>
    <row r="77" spans="1:4" x14ac:dyDescent="0.5">
      <c r="A77">
        <v>2</v>
      </c>
      <c r="B77">
        <v>38</v>
      </c>
      <c r="C77">
        <v>45</v>
      </c>
      <c r="D77">
        <v>8</v>
      </c>
    </row>
    <row r="78" spans="1:4" x14ac:dyDescent="0.5">
      <c r="A78">
        <v>2</v>
      </c>
      <c r="B78">
        <v>37</v>
      </c>
      <c r="C78">
        <v>45</v>
      </c>
      <c r="D78">
        <v>8</v>
      </c>
    </row>
    <row r="79" spans="1:4" x14ac:dyDescent="0.5">
      <c r="A79">
        <v>2</v>
      </c>
      <c r="B79">
        <v>36</v>
      </c>
      <c r="C79">
        <v>46</v>
      </c>
      <c r="D79">
        <v>8</v>
      </c>
    </row>
    <row r="80" spans="1:4" x14ac:dyDescent="0.5">
      <c r="A80">
        <v>2</v>
      </c>
      <c r="B80">
        <v>35</v>
      </c>
      <c r="C80">
        <v>46</v>
      </c>
      <c r="D80">
        <v>8</v>
      </c>
    </row>
    <row r="81" spans="1:4" x14ac:dyDescent="0.5">
      <c r="A81">
        <v>2</v>
      </c>
      <c r="B81">
        <v>34</v>
      </c>
      <c r="C81">
        <v>47</v>
      </c>
      <c r="D81">
        <v>8</v>
      </c>
    </row>
    <row r="82" spans="1:4" x14ac:dyDescent="0.5">
      <c r="A82">
        <v>2</v>
      </c>
      <c r="B82">
        <v>37</v>
      </c>
      <c r="C82">
        <v>26</v>
      </c>
      <c r="D82">
        <v>9</v>
      </c>
    </row>
    <row r="83" spans="1:4" x14ac:dyDescent="0.5">
      <c r="A83">
        <v>2</v>
      </c>
      <c r="B83">
        <v>37</v>
      </c>
      <c r="C83">
        <v>27</v>
      </c>
      <c r="D83">
        <v>9</v>
      </c>
    </row>
    <row r="84" spans="1:4" x14ac:dyDescent="0.5">
      <c r="A84">
        <v>2</v>
      </c>
      <c r="B84">
        <v>37</v>
      </c>
      <c r="C84">
        <v>28</v>
      </c>
      <c r="D84">
        <v>9</v>
      </c>
    </row>
    <row r="85" spans="1:4" x14ac:dyDescent="0.5">
      <c r="A85">
        <v>2</v>
      </c>
      <c r="B85">
        <v>36</v>
      </c>
      <c r="C85">
        <v>29</v>
      </c>
      <c r="D85">
        <v>9</v>
      </c>
    </row>
    <row r="86" spans="1:4" x14ac:dyDescent="0.5">
      <c r="A86">
        <v>2</v>
      </c>
      <c r="B86">
        <v>36</v>
      </c>
      <c r="C86">
        <v>30</v>
      </c>
      <c r="D86">
        <v>9</v>
      </c>
    </row>
    <row r="87" spans="1:4" x14ac:dyDescent="0.5">
      <c r="A87">
        <v>2</v>
      </c>
      <c r="B87">
        <v>36</v>
      </c>
      <c r="C87">
        <v>31</v>
      </c>
      <c r="D87">
        <v>9</v>
      </c>
    </row>
    <row r="88" spans="1:4" x14ac:dyDescent="0.5">
      <c r="A88">
        <v>2</v>
      </c>
      <c r="B88">
        <v>36</v>
      </c>
      <c r="C88">
        <v>32</v>
      </c>
      <c r="D88">
        <v>9</v>
      </c>
    </row>
    <row r="89" spans="1:4" x14ac:dyDescent="0.5">
      <c r="A89">
        <v>2</v>
      </c>
      <c r="B89">
        <v>36</v>
      </c>
      <c r="C89">
        <v>33</v>
      </c>
      <c r="D89">
        <v>9</v>
      </c>
    </row>
    <row r="90" spans="1:4" x14ac:dyDescent="0.5">
      <c r="A90">
        <v>2</v>
      </c>
      <c r="B90">
        <v>36</v>
      </c>
      <c r="C90">
        <v>34</v>
      </c>
      <c r="D90">
        <v>9</v>
      </c>
    </row>
    <row r="91" spans="1:4" x14ac:dyDescent="0.5">
      <c r="A91">
        <v>2</v>
      </c>
      <c r="B91">
        <v>58</v>
      </c>
      <c r="C91">
        <v>37</v>
      </c>
      <c r="D91">
        <v>10</v>
      </c>
    </row>
    <row r="92" spans="1:4" x14ac:dyDescent="0.5">
      <c r="A92">
        <v>2</v>
      </c>
      <c r="B92">
        <v>57</v>
      </c>
      <c r="C92">
        <v>37</v>
      </c>
      <c r="D92">
        <v>10</v>
      </c>
    </row>
    <row r="93" spans="1:4" x14ac:dyDescent="0.5">
      <c r="A93">
        <v>2</v>
      </c>
      <c r="B93">
        <v>56</v>
      </c>
      <c r="C93">
        <v>38</v>
      </c>
      <c r="D93">
        <v>10</v>
      </c>
    </row>
    <row r="94" spans="1:4" x14ac:dyDescent="0.5">
      <c r="A94">
        <v>2</v>
      </c>
      <c r="B94">
        <v>55</v>
      </c>
      <c r="C94">
        <v>38</v>
      </c>
      <c r="D94">
        <v>10</v>
      </c>
    </row>
    <row r="95" spans="1:4" x14ac:dyDescent="0.5">
      <c r="A95">
        <v>2</v>
      </c>
      <c r="B95">
        <v>54</v>
      </c>
      <c r="C95">
        <v>38</v>
      </c>
      <c r="D95">
        <v>10</v>
      </c>
    </row>
    <row r="96" spans="1:4" x14ac:dyDescent="0.5">
      <c r="A96">
        <v>2</v>
      </c>
      <c r="B96">
        <v>53</v>
      </c>
      <c r="C96">
        <v>38</v>
      </c>
      <c r="D96">
        <v>10</v>
      </c>
    </row>
    <row r="97" spans="1:4" x14ac:dyDescent="0.5">
      <c r="A97">
        <v>2</v>
      </c>
      <c r="B97">
        <v>52</v>
      </c>
      <c r="C97">
        <v>38</v>
      </c>
      <c r="D97">
        <v>10</v>
      </c>
    </row>
    <row r="98" spans="1:4" x14ac:dyDescent="0.5">
      <c r="A98">
        <v>2</v>
      </c>
      <c r="B98">
        <v>51</v>
      </c>
      <c r="C98">
        <v>39</v>
      </c>
      <c r="D98">
        <v>10</v>
      </c>
    </row>
    <row r="99" spans="1:4" x14ac:dyDescent="0.5">
      <c r="A99">
        <v>2</v>
      </c>
      <c r="B99">
        <v>50</v>
      </c>
      <c r="C99">
        <v>39</v>
      </c>
      <c r="D99">
        <v>10</v>
      </c>
    </row>
    <row r="100" spans="1:4" x14ac:dyDescent="0.5">
      <c r="A100">
        <v>2</v>
      </c>
      <c r="B100">
        <v>49</v>
      </c>
      <c r="C100">
        <v>38</v>
      </c>
      <c r="D100">
        <v>10</v>
      </c>
    </row>
    <row r="101" spans="1:4" x14ac:dyDescent="0.5">
      <c r="A101">
        <v>2</v>
      </c>
      <c r="B101">
        <v>48</v>
      </c>
      <c r="C101">
        <v>37</v>
      </c>
      <c r="D101">
        <v>10</v>
      </c>
    </row>
    <row r="102" spans="1:4" x14ac:dyDescent="0.5">
      <c r="A102">
        <v>2</v>
      </c>
      <c r="B102">
        <v>47</v>
      </c>
      <c r="C102">
        <v>36</v>
      </c>
      <c r="D102">
        <v>10</v>
      </c>
    </row>
    <row r="103" spans="1:4" x14ac:dyDescent="0.5">
      <c r="A103">
        <v>2</v>
      </c>
      <c r="B103">
        <v>46</v>
      </c>
      <c r="C103">
        <v>36</v>
      </c>
      <c r="D103">
        <v>10</v>
      </c>
    </row>
    <row r="104" spans="1:4" x14ac:dyDescent="0.5">
      <c r="A104">
        <v>2</v>
      </c>
      <c r="B104">
        <v>45</v>
      </c>
      <c r="C104">
        <v>36</v>
      </c>
      <c r="D104">
        <v>10</v>
      </c>
    </row>
    <row r="105" spans="1:4" x14ac:dyDescent="0.5">
      <c r="A105">
        <v>2</v>
      </c>
      <c r="B105">
        <v>44</v>
      </c>
      <c r="C105">
        <v>36</v>
      </c>
      <c r="D105">
        <v>10</v>
      </c>
    </row>
    <row r="106" spans="1:4" x14ac:dyDescent="0.5">
      <c r="A106">
        <v>2</v>
      </c>
      <c r="B106">
        <v>43</v>
      </c>
      <c r="C106">
        <v>36</v>
      </c>
      <c r="D106">
        <v>10</v>
      </c>
    </row>
    <row r="107" spans="1:4" x14ac:dyDescent="0.5">
      <c r="A107">
        <v>2</v>
      </c>
      <c r="B107">
        <v>42</v>
      </c>
      <c r="C107">
        <v>37</v>
      </c>
      <c r="D107">
        <v>10</v>
      </c>
    </row>
    <row r="108" spans="1:4" x14ac:dyDescent="0.5">
      <c r="A108">
        <v>2</v>
      </c>
      <c r="B108">
        <v>41</v>
      </c>
      <c r="C108">
        <v>37</v>
      </c>
      <c r="D108">
        <v>10</v>
      </c>
    </row>
    <row r="109" spans="1:4" x14ac:dyDescent="0.5">
      <c r="A109">
        <v>2</v>
      </c>
      <c r="B109">
        <v>40</v>
      </c>
      <c r="C109">
        <v>37</v>
      </c>
      <c r="D109">
        <v>10</v>
      </c>
    </row>
    <row r="110" spans="1:4" x14ac:dyDescent="0.5">
      <c r="A110">
        <v>2</v>
      </c>
      <c r="B110">
        <v>39</v>
      </c>
      <c r="C110">
        <v>38</v>
      </c>
      <c r="D110">
        <v>10</v>
      </c>
    </row>
    <row r="111" spans="1:4" x14ac:dyDescent="0.5">
      <c r="A111">
        <v>2</v>
      </c>
      <c r="B111">
        <v>38</v>
      </c>
      <c r="C111">
        <v>38</v>
      </c>
      <c r="D111">
        <v>10</v>
      </c>
    </row>
    <row r="112" spans="1:4" x14ac:dyDescent="0.5">
      <c r="A112">
        <v>2</v>
      </c>
      <c r="B112">
        <v>37</v>
      </c>
      <c r="C112">
        <v>37</v>
      </c>
      <c r="D112">
        <v>10</v>
      </c>
    </row>
    <row r="113" spans="1:4" x14ac:dyDescent="0.5">
      <c r="A113">
        <v>2</v>
      </c>
      <c r="B113">
        <v>36</v>
      </c>
      <c r="C113">
        <v>37</v>
      </c>
      <c r="D113">
        <v>10</v>
      </c>
    </row>
    <row r="114" spans="1:4" x14ac:dyDescent="0.5">
      <c r="A114">
        <v>2</v>
      </c>
      <c r="B114">
        <v>35</v>
      </c>
      <c r="C114">
        <v>37</v>
      </c>
      <c r="D114">
        <v>10</v>
      </c>
    </row>
    <row r="115" spans="1:4" x14ac:dyDescent="0.5">
      <c r="A115">
        <v>2</v>
      </c>
      <c r="B115">
        <v>36</v>
      </c>
      <c r="C115">
        <v>55</v>
      </c>
      <c r="D115">
        <v>11</v>
      </c>
    </row>
    <row r="116" spans="1:4" x14ac:dyDescent="0.5">
      <c r="A116">
        <v>2</v>
      </c>
      <c r="B116">
        <v>36</v>
      </c>
      <c r="C116">
        <v>56</v>
      </c>
      <c r="D116">
        <v>11</v>
      </c>
    </row>
    <row r="117" spans="1:4" x14ac:dyDescent="0.5">
      <c r="A117">
        <v>2</v>
      </c>
      <c r="B117">
        <v>37</v>
      </c>
      <c r="C117">
        <v>57</v>
      </c>
      <c r="D117">
        <v>11</v>
      </c>
    </row>
    <row r="118" spans="1:4" x14ac:dyDescent="0.5">
      <c r="A118">
        <v>2</v>
      </c>
      <c r="B118">
        <v>37</v>
      </c>
      <c r="C118">
        <v>58</v>
      </c>
      <c r="D118">
        <v>11</v>
      </c>
    </row>
    <row r="119" spans="1:4" x14ac:dyDescent="0.5">
      <c r="A119">
        <v>2</v>
      </c>
      <c r="B119">
        <v>37</v>
      </c>
      <c r="C119">
        <v>59</v>
      </c>
      <c r="D119">
        <v>11</v>
      </c>
    </row>
    <row r="120" spans="1:4" x14ac:dyDescent="0.5">
      <c r="A120">
        <v>2</v>
      </c>
      <c r="B120">
        <v>37</v>
      </c>
      <c r="C120">
        <v>60</v>
      </c>
      <c r="D120">
        <v>11</v>
      </c>
    </row>
    <row r="121" spans="1:4" x14ac:dyDescent="0.5">
      <c r="A121">
        <v>2</v>
      </c>
      <c r="B121">
        <v>38</v>
      </c>
      <c r="C121">
        <v>61</v>
      </c>
      <c r="D121">
        <v>11</v>
      </c>
    </row>
    <row r="122" spans="1:4" x14ac:dyDescent="0.5">
      <c r="A122">
        <v>2</v>
      </c>
      <c r="B122">
        <v>38</v>
      </c>
      <c r="C122">
        <v>62</v>
      </c>
      <c r="D122">
        <v>11</v>
      </c>
    </row>
    <row r="123" spans="1:4" x14ac:dyDescent="0.5">
      <c r="A123">
        <v>2</v>
      </c>
      <c r="B123">
        <v>51</v>
      </c>
      <c r="C123">
        <v>11</v>
      </c>
      <c r="D123">
        <v>12</v>
      </c>
    </row>
    <row r="124" spans="1:4" x14ac:dyDescent="0.5">
      <c r="A124">
        <v>2</v>
      </c>
      <c r="B124">
        <v>50</v>
      </c>
      <c r="C124">
        <v>12</v>
      </c>
      <c r="D124">
        <v>12</v>
      </c>
    </row>
    <row r="125" spans="1:4" x14ac:dyDescent="0.5">
      <c r="A125">
        <v>2</v>
      </c>
      <c r="B125">
        <v>49</v>
      </c>
      <c r="C125">
        <v>12</v>
      </c>
      <c r="D125">
        <v>12</v>
      </c>
    </row>
    <row r="126" spans="1:4" x14ac:dyDescent="0.5">
      <c r="A126">
        <v>2</v>
      </c>
      <c r="B126">
        <v>48</v>
      </c>
      <c r="C126">
        <v>13</v>
      </c>
      <c r="D126">
        <v>12</v>
      </c>
    </row>
    <row r="127" spans="1:4" x14ac:dyDescent="0.5">
      <c r="A127">
        <v>2</v>
      </c>
      <c r="B127">
        <v>48</v>
      </c>
      <c r="C127">
        <v>14</v>
      </c>
      <c r="D127">
        <v>12</v>
      </c>
    </row>
    <row r="128" spans="1:4" x14ac:dyDescent="0.5">
      <c r="A128">
        <v>2</v>
      </c>
      <c r="B128">
        <v>47</v>
      </c>
      <c r="C128">
        <v>15</v>
      </c>
      <c r="D128">
        <v>12</v>
      </c>
    </row>
    <row r="129" spans="1:4" x14ac:dyDescent="0.5">
      <c r="A129">
        <v>2</v>
      </c>
      <c r="B129">
        <v>47</v>
      </c>
      <c r="C129">
        <v>16</v>
      </c>
      <c r="D129">
        <v>12</v>
      </c>
    </row>
    <row r="130" spans="1:4" x14ac:dyDescent="0.5">
      <c r="A130">
        <v>2</v>
      </c>
      <c r="B130">
        <v>46</v>
      </c>
      <c r="C130">
        <v>17</v>
      </c>
      <c r="D130">
        <v>12</v>
      </c>
    </row>
    <row r="131" spans="1:4" x14ac:dyDescent="0.5">
      <c r="A131">
        <v>2</v>
      </c>
      <c r="B131">
        <v>46</v>
      </c>
      <c r="C131">
        <v>18</v>
      </c>
      <c r="D131">
        <v>12</v>
      </c>
    </row>
    <row r="132" spans="1:4" x14ac:dyDescent="0.5">
      <c r="A132">
        <v>2</v>
      </c>
      <c r="B132">
        <v>46</v>
      </c>
      <c r="C132">
        <v>19</v>
      </c>
      <c r="D132">
        <v>12</v>
      </c>
    </row>
    <row r="133" spans="1:4" x14ac:dyDescent="0.5">
      <c r="A133">
        <v>2</v>
      </c>
      <c r="B133">
        <v>46</v>
      </c>
      <c r="C133">
        <v>20</v>
      </c>
      <c r="D133">
        <v>12</v>
      </c>
    </row>
    <row r="134" spans="1:4" x14ac:dyDescent="0.5">
      <c r="A134">
        <v>2</v>
      </c>
      <c r="B134">
        <v>45</v>
      </c>
      <c r="C134">
        <v>21</v>
      </c>
      <c r="D134">
        <v>12</v>
      </c>
    </row>
    <row r="135" spans="1:4" x14ac:dyDescent="0.5">
      <c r="A135">
        <v>2</v>
      </c>
      <c r="B135">
        <v>44</v>
      </c>
      <c r="C135">
        <v>22</v>
      </c>
      <c r="D135">
        <v>12</v>
      </c>
    </row>
    <row r="136" spans="1:4" x14ac:dyDescent="0.5">
      <c r="A136">
        <v>2</v>
      </c>
      <c r="B136">
        <v>43</v>
      </c>
      <c r="C136">
        <v>23</v>
      </c>
      <c r="D136">
        <v>12</v>
      </c>
    </row>
    <row r="137" spans="1:4" x14ac:dyDescent="0.5">
      <c r="A137">
        <v>2</v>
      </c>
      <c r="B137">
        <v>42</v>
      </c>
      <c r="C137">
        <v>24</v>
      </c>
      <c r="D137">
        <v>12</v>
      </c>
    </row>
    <row r="138" spans="1:4" x14ac:dyDescent="0.5">
      <c r="A138">
        <v>2</v>
      </c>
      <c r="B138">
        <v>42</v>
      </c>
      <c r="C138">
        <v>25</v>
      </c>
      <c r="D138">
        <v>12</v>
      </c>
    </row>
    <row r="139" spans="1:4" x14ac:dyDescent="0.5">
      <c r="A139">
        <v>2</v>
      </c>
      <c r="B139">
        <v>42</v>
      </c>
      <c r="C139">
        <v>26</v>
      </c>
      <c r="D139">
        <v>12</v>
      </c>
    </row>
    <row r="140" spans="1:4" x14ac:dyDescent="0.5">
      <c r="A140">
        <v>2</v>
      </c>
      <c r="B140">
        <v>42</v>
      </c>
      <c r="C140">
        <v>27</v>
      </c>
      <c r="D140">
        <v>12</v>
      </c>
    </row>
    <row r="141" spans="1:4" x14ac:dyDescent="0.5">
      <c r="A141">
        <v>2</v>
      </c>
      <c r="B141">
        <v>42</v>
      </c>
      <c r="C141">
        <v>28</v>
      </c>
      <c r="D141">
        <v>12</v>
      </c>
    </row>
    <row r="142" spans="1:4" x14ac:dyDescent="0.5">
      <c r="A142">
        <v>2</v>
      </c>
      <c r="B142">
        <v>41</v>
      </c>
      <c r="C142">
        <v>29</v>
      </c>
      <c r="D142">
        <v>12</v>
      </c>
    </row>
    <row r="143" spans="1:4" x14ac:dyDescent="0.5">
      <c r="A143">
        <v>2</v>
      </c>
      <c r="B143">
        <v>40</v>
      </c>
      <c r="C143">
        <v>30</v>
      </c>
      <c r="D143">
        <v>12</v>
      </c>
    </row>
    <row r="144" spans="1:4" x14ac:dyDescent="0.5">
      <c r="A144">
        <v>2</v>
      </c>
      <c r="B144">
        <v>39</v>
      </c>
      <c r="C144">
        <v>31</v>
      </c>
      <c r="D144">
        <v>12</v>
      </c>
    </row>
    <row r="145" spans="1:4" x14ac:dyDescent="0.5">
      <c r="A145">
        <v>2</v>
      </c>
      <c r="B145">
        <v>38</v>
      </c>
      <c r="C145">
        <v>32</v>
      </c>
      <c r="D145">
        <v>12</v>
      </c>
    </row>
    <row r="146" spans="1:4" x14ac:dyDescent="0.5">
      <c r="A146">
        <v>2</v>
      </c>
      <c r="B146">
        <v>37</v>
      </c>
      <c r="C146">
        <v>33</v>
      </c>
      <c r="D146">
        <v>12</v>
      </c>
    </row>
    <row r="147" spans="1:4" x14ac:dyDescent="0.5">
      <c r="A147">
        <v>2</v>
      </c>
      <c r="B147">
        <v>36</v>
      </c>
      <c r="C147">
        <v>34</v>
      </c>
      <c r="D147">
        <v>12</v>
      </c>
    </row>
    <row r="148" spans="1:4" x14ac:dyDescent="0.5">
      <c r="A148">
        <v>2</v>
      </c>
      <c r="B148">
        <v>38</v>
      </c>
      <c r="C148">
        <v>62</v>
      </c>
      <c r="D148">
        <v>13</v>
      </c>
    </row>
    <row r="149" spans="1:4" x14ac:dyDescent="0.5">
      <c r="A149">
        <v>2</v>
      </c>
      <c r="B149">
        <v>38</v>
      </c>
      <c r="C149">
        <v>63</v>
      </c>
      <c r="D149">
        <v>13</v>
      </c>
    </row>
    <row r="150" spans="1:4" x14ac:dyDescent="0.5">
      <c r="A150">
        <v>2</v>
      </c>
      <c r="B150">
        <v>38</v>
      </c>
      <c r="C150">
        <v>64</v>
      </c>
      <c r="D150">
        <v>13</v>
      </c>
    </row>
    <row r="151" spans="1:4" x14ac:dyDescent="0.5">
      <c r="A151">
        <v>2</v>
      </c>
      <c r="B151">
        <v>38</v>
      </c>
      <c r="C151">
        <v>65</v>
      </c>
      <c r="D151">
        <v>13</v>
      </c>
    </row>
    <row r="152" spans="1:4" x14ac:dyDescent="0.5">
      <c r="A152">
        <v>2</v>
      </c>
      <c r="B152">
        <v>38</v>
      </c>
      <c r="C152">
        <v>66</v>
      </c>
      <c r="D152">
        <v>21</v>
      </c>
    </row>
    <row r="153" spans="1:4" x14ac:dyDescent="0.5">
      <c r="A153">
        <v>2</v>
      </c>
      <c r="B153">
        <v>38</v>
      </c>
      <c r="C153">
        <v>67</v>
      </c>
      <c r="D153">
        <v>21</v>
      </c>
    </row>
    <row r="154" spans="1:4" x14ac:dyDescent="0.5">
      <c r="A154">
        <v>2</v>
      </c>
      <c r="B154">
        <v>39</v>
      </c>
      <c r="C154">
        <v>68</v>
      </c>
      <c r="D154">
        <v>21</v>
      </c>
    </row>
    <row r="155" spans="1:4" x14ac:dyDescent="0.5">
      <c r="A155">
        <v>2</v>
      </c>
      <c r="B155">
        <v>39</v>
      </c>
      <c r="C155">
        <v>69</v>
      </c>
      <c r="D155">
        <v>21</v>
      </c>
    </row>
    <row r="156" spans="1:4" x14ac:dyDescent="0.5">
      <c r="A156">
        <v>2</v>
      </c>
      <c r="B156">
        <v>39</v>
      </c>
      <c r="C156">
        <v>70</v>
      </c>
      <c r="D156">
        <v>21</v>
      </c>
    </row>
    <row r="157" spans="1:4" x14ac:dyDescent="0.5">
      <c r="A157">
        <v>2</v>
      </c>
      <c r="B157">
        <v>46</v>
      </c>
      <c r="C157">
        <v>61</v>
      </c>
      <c r="D157">
        <v>14</v>
      </c>
    </row>
    <row r="158" spans="1:4" x14ac:dyDescent="0.5">
      <c r="A158">
        <v>2</v>
      </c>
      <c r="B158">
        <v>45</v>
      </c>
      <c r="C158">
        <v>61</v>
      </c>
      <c r="D158">
        <v>14</v>
      </c>
    </row>
    <row r="159" spans="1:4" x14ac:dyDescent="0.5">
      <c r="A159">
        <v>2</v>
      </c>
      <c r="B159">
        <v>44</v>
      </c>
      <c r="C159">
        <v>61</v>
      </c>
      <c r="D159">
        <v>14</v>
      </c>
    </row>
    <row r="160" spans="1:4" x14ac:dyDescent="0.5">
      <c r="A160">
        <v>2</v>
      </c>
      <c r="B160">
        <v>43</v>
      </c>
      <c r="C160">
        <v>61</v>
      </c>
      <c r="D160">
        <v>14</v>
      </c>
    </row>
    <row r="161" spans="1:4" x14ac:dyDescent="0.5">
      <c r="A161">
        <v>2</v>
      </c>
      <c r="B161">
        <v>42</v>
      </c>
      <c r="C161">
        <v>61</v>
      </c>
      <c r="D161">
        <v>14</v>
      </c>
    </row>
    <row r="162" spans="1:4" x14ac:dyDescent="0.5">
      <c r="A162">
        <v>2</v>
      </c>
      <c r="B162">
        <v>41</v>
      </c>
      <c r="C162">
        <v>61</v>
      </c>
      <c r="D162">
        <v>14</v>
      </c>
    </row>
    <row r="163" spans="1:4" x14ac:dyDescent="0.5">
      <c r="A163">
        <v>2</v>
      </c>
      <c r="B163">
        <v>40</v>
      </c>
      <c r="C163">
        <v>61</v>
      </c>
      <c r="D163">
        <v>14</v>
      </c>
    </row>
    <row r="164" spans="1:4" x14ac:dyDescent="0.5">
      <c r="A164">
        <v>2</v>
      </c>
      <c r="B164">
        <v>39</v>
      </c>
      <c r="C164">
        <v>61</v>
      </c>
      <c r="D164">
        <v>14</v>
      </c>
    </row>
    <row r="165" spans="1:4" x14ac:dyDescent="0.5">
      <c r="A165">
        <v>2</v>
      </c>
      <c r="B165">
        <v>38</v>
      </c>
      <c r="C165">
        <v>62</v>
      </c>
      <c r="D165">
        <v>14</v>
      </c>
    </row>
    <row r="166" spans="1:4" x14ac:dyDescent="0.5">
      <c r="A166">
        <v>2</v>
      </c>
      <c r="B166">
        <v>39</v>
      </c>
      <c r="C166">
        <v>70</v>
      </c>
      <c r="D166">
        <v>15</v>
      </c>
    </row>
    <row r="167" spans="1:4" x14ac:dyDescent="0.5">
      <c r="A167">
        <v>2</v>
      </c>
      <c r="B167">
        <v>39</v>
      </c>
      <c r="C167">
        <v>71</v>
      </c>
      <c r="D167">
        <v>23</v>
      </c>
    </row>
    <row r="168" spans="1:4" x14ac:dyDescent="0.5">
      <c r="A168">
        <v>2</v>
      </c>
      <c r="B168">
        <v>40</v>
      </c>
      <c r="C168">
        <v>72</v>
      </c>
      <c r="D168">
        <v>23</v>
      </c>
    </row>
    <row r="169" spans="1:4" x14ac:dyDescent="0.5">
      <c r="A169">
        <v>2</v>
      </c>
      <c r="B169">
        <v>40</v>
      </c>
      <c r="C169">
        <v>73</v>
      </c>
      <c r="D169">
        <v>23</v>
      </c>
    </row>
    <row r="170" spans="1:4" x14ac:dyDescent="0.5">
      <c r="A170">
        <v>2</v>
      </c>
      <c r="B170">
        <v>40</v>
      </c>
      <c r="C170">
        <v>74</v>
      </c>
      <c r="D170">
        <v>23</v>
      </c>
    </row>
    <row r="171" spans="1:4" x14ac:dyDescent="0.5">
      <c r="A171">
        <v>2</v>
      </c>
      <c r="B171">
        <v>40</v>
      </c>
      <c r="C171">
        <v>75</v>
      </c>
      <c r="D171">
        <v>23</v>
      </c>
    </row>
    <row r="172" spans="1:4" x14ac:dyDescent="0.5">
      <c r="A172">
        <v>2</v>
      </c>
      <c r="B172">
        <v>40</v>
      </c>
      <c r="C172">
        <v>75</v>
      </c>
      <c r="D172">
        <v>16</v>
      </c>
    </row>
    <row r="173" spans="1:4" x14ac:dyDescent="0.5">
      <c r="A173">
        <v>2</v>
      </c>
      <c r="B173">
        <v>40</v>
      </c>
      <c r="C173">
        <v>76</v>
      </c>
      <c r="D173">
        <v>16</v>
      </c>
    </row>
    <row r="174" spans="1:4" x14ac:dyDescent="0.5">
      <c r="A174">
        <v>2</v>
      </c>
      <c r="B174">
        <v>55</v>
      </c>
      <c r="C174">
        <v>73</v>
      </c>
      <c r="D174">
        <v>17</v>
      </c>
    </row>
    <row r="175" spans="1:4" x14ac:dyDescent="0.5">
      <c r="A175">
        <v>2</v>
      </c>
      <c r="B175">
        <v>54</v>
      </c>
      <c r="C175">
        <v>73</v>
      </c>
      <c r="D175">
        <v>17</v>
      </c>
    </row>
    <row r="176" spans="1:4" x14ac:dyDescent="0.5">
      <c r="A176">
        <v>2</v>
      </c>
      <c r="B176">
        <v>53</v>
      </c>
      <c r="C176">
        <v>73</v>
      </c>
      <c r="D176">
        <v>17</v>
      </c>
    </row>
    <row r="177" spans="1:4" x14ac:dyDescent="0.5">
      <c r="A177">
        <v>2</v>
      </c>
      <c r="B177">
        <v>52</v>
      </c>
      <c r="C177">
        <v>73</v>
      </c>
      <c r="D177">
        <v>17</v>
      </c>
    </row>
    <row r="178" spans="1:4" x14ac:dyDescent="0.5">
      <c r="A178">
        <v>2</v>
      </c>
      <c r="B178">
        <v>51</v>
      </c>
      <c r="C178">
        <v>72</v>
      </c>
      <c r="D178">
        <v>17</v>
      </c>
    </row>
    <row r="179" spans="1:4" x14ac:dyDescent="0.5">
      <c r="A179">
        <v>2</v>
      </c>
      <c r="B179">
        <v>50</v>
      </c>
      <c r="C179">
        <v>72</v>
      </c>
      <c r="D179">
        <v>17</v>
      </c>
    </row>
    <row r="180" spans="1:4" x14ac:dyDescent="0.5">
      <c r="A180">
        <v>2</v>
      </c>
      <c r="B180">
        <v>49</v>
      </c>
      <c r="C180">
        <v>72</v>
      </c>
      <c r="D180">
        <v>17</v>
      </c>
    </row>
    <row r="181" spans="1:4" x14ac:dyDescent="0.5">
      <c r="A181">
        <v>2</v>
      </c>
      <c r="B181">
        <v>48</v>
      </c>
      <c r="C181">
        <v>72</v>
      </c>
      <c r="D181">
        <v>17</v>
      </c>
    </row>
    <row r="182" spans="1:4" x14ac:dyDescent="0.5">
      <c r="A182">
        <v>2</v>
      </c>
      <c r="B182">
        <v>47</v>
      </c>
      <c r="C182">
        <v>72</v>
      </c>
      <c r="D182">
        <v>17</v>
      </c>
    </row>
    <row r="183" spans="1:4" x14ac:dyDescent="0.5">
      <c r="A183">
        <v>2</v>
      </c>
      <c r="B183">
        <v>46</v>
      </c>
      <c r="C183">
        <v>72</v>
      </c>
      <c r="D183">
        <v>17</v>
      </c>
    </row>
    <row r="184" spans="1:4" x14ac:dyDescent="0.5">
      <c r="A184">
        <v>2</v>
      </c>
      <c r="B184">
        <v>45</v>
      </c>
      <c r="C184">
        <v>72</v>
      </c>
      <c r="D184">
        <v>17</v>
      </c>
    </row>
    <row r="185" spans="1:4" x14ac:dyDescent="0.5">
      <c r="A185">
        <v>2</v>
      </c>
      <c r="B185">
        <v>44</v>
      </c>
      <c r="C185">
        <v>73</v>
      </c>
      <c r="D185">
        <v>17</v>
      </c>
    </row>
    <row r="186" spans="1:4" x14ac:dyDescent="0.5">
      <c r="A186">
        <v>2</v>
      </c>
      <c r="B186">
        <v>43</v>
      </c>
      <c r="C186">
        <v>73</v>
      </c>
      <c r="D186">
        <v>17</v>
      </c>
    </row>
    <row r="187" spans="1:4" x14ac:dyDescent="0.5">
      <c r="A187">
        <v>2</v>
      </c>
      <c r="B187">
        <v>42</v>
      </c>
      <c r="C187">
        <v>73</v>
      </c>
      <c r="D187">
        <v>17</v>
      </c>
    </row>
    <row r="188" spans="1:4" x14ac:dyDescent="0.5">
      <c r="A188">
        <v>2</v>
      </c>
      <c r="B188">
        <v>41</v>
      </c>
      <c r="C188">
        <v>74</v>
      </c>
      <c r="D188">
        <v>19</v>
      </c>
    </row>
    <row r="189" spans="1:4" x14ac:dyDescent="0.5">
      <c r="A189">
        <v>2</v>
      </c>
      <c r="B189">
        <v>40</v>
      </c>
      <c r="C189">
        <v>75</v>
      </c>
      <c r="D189">
        <v>19</v>
      </c>
    </row>
    <row r="190" spans="1:4" x14ac:dyDescent="0.5">
      <c r="A190">
        <v>2</v>
      </c>
      <c r="B190">
        <v>39</v>
      </c>
      <c r="C190">
        <v>66</v>
      </c>
      <c r="D190">
        <v>20</v>
      </c>
    </row>
    <row r="191" spans="1:4" x14ac:dyDescent="0.5">
      <c r="A191">
        <v>2</v>
      </c>
      <c r="B191">
        <v>39</v>
      </c>
      <c r="C191">
        <v>67</v>
      </c>
      <c r="D191">
        <v>20</v>
      </c>
    </row>
    <row r="192" spans="1:4" x14ac:dyDescent="0.5">
      <c r="A192">
        <v>2</v>
      </c>
      <c r="B192">
        <v>40</v>
      </c>
      <c r="C192">
        <v>68</v>
      </c>
      <c r="D192">
        <v>20</v>
      </c>
    </row>
    <row r="193" spans="1:4" x14ac:dyDescent="0.5">
      <c r="A193">
        <v>2</v>
      </c>
      <c r="B193">
        <v>41</v>
      </c>
      <c r="C193">
        <v>69</v>
      </c>
      <c r="D193">
        <v>20</v>
      </c>
    </row>
    <row r="194" spans="1:4" x14ac:dyDescent="0.5">
      <c r="A194">
        <v>2</v>
      </c>
      <c r="B194">
        <v>42</v>
      </c>
      <c r="C194">
        <v>69</v>
      </c>
      <c r="D194">
        <v>20</v>
      </c>
    </row>
    <row r="195" spans="1:4" x14ac:dyDescent="0.5">
      <c r="A195">
        <v>2</v>
      </c>
      <c r="B195">
        <v>43</v>
      </c>
      <c r="C195">
        <v>70</v>
      </c>
      <c r="D195">
        <v>20</v>
      </c>
    </row>
    <row r="196" spans="1:4" x14ac:dyDescent="0.5">
      <c r="A196">
        <v>2</v>
      </c>
      <c r="B196">
        <v>38</v>
      </c>
      <c r="C196">
        <v>71</v>
      </c>
      <c r="D196">
        <v>22</v>
      </c>
    </row>
    <row r="197" spans="1:4" x14ac:dyDescent="0.5">
      <c r="A197">
        <v>2</v>
      </c>
      <c r="B197">
        <v>38</v>
      </c>
      <c r="C197">
        <v>72</v>
      </c>
      <c r="D197">
        <v>22</v>
      </c>
    </row>
    <row r="198" spans="1:4" x14ac:dyDescent="0.5">
      <c r="A198">
        <v>2</v>
      </c>
      <c r="B198">
        <v>39</v>
      </c>
      <c r="C198">
        <v>73</v>
      </c>
      <c r="D198">
        <v>22</v>
      </c>
    </row>
    <row r="199" spans="1:4" x14ac:dyDescent="0.5">
      <c r="A199">
        <v>2</v>
      </c>
      <c r="B199">
        <v>39</v>
      </c>
      <c r="C199">
        <v>74</v>
      </c>
      <c r="D199">
        <v>22</v>
      </c>
    </row>
    <row r="200" spans="1:4" x14ac:dyDescent="0.5">
      <c r="A200">
        <v>2</v>
      </c>
      <c r="B200">
        <v>39</v>
      </c>
      <c r="C200">
        <v>75</v>
      </c>
      <c r="D200">
        <v>22</v>
      </c>
    </row>
    <row r="201" spans="1:4" x14ac:dyDescent="0.5">
      <c r="A201">
        <v>2</v>
      </c>
      <c r="B201">
        <v>39</v>
      </c>
      <c r="C201">
        <v>76</v>
      </c>
      <c r="D201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K16:CH58"/>
  <sheetViews>
    <sheetView topLeftCell="A19" zoomScale="70" zoomScaleNormal="70" workbookViewId="0">
      <selection activeCell="BT39" sqref="BT39"/>
    </sheetView>
  </sheetViews>
  <sheetFormatPr defaultRowHeight="14.35" x14ac:dyDescent="0.5"/>
  <cols>
    <col min="1" max="65" width="3.29296875" customWidth="1"/>
    <col min="66" max="76" width="3.87890625" customWidth="1"/>
    <col min="79" max="80" width="14.41015625" bestFit="1" customWidth="1"/>
    <col min="83" max="83" width="10" bestFit="1" customWidth="1"/>
    <col min="86" max="86" width="11.1171875" bestFit="1" customWidth="1"/>
  </cols>
  <sheetData>
    <row r="16" spans="80:83" x14ac:dyDescent="0.5">
      <c r="CB16" t="s">
        <v>57</v>
      </c>
      <c r="CC16" t="s">
        <v>58</v>
      </c>
      <c r="CD16" t="s">
        <v>59</v>
      </c>
      <c r="CE16" t="s">
        <v>60</v>
      </c>
    </row>
    <row r="17" spans="40:86" x14ac:dyDescent="0.5">
      <c r="CA17">
        <v>1</v>
      </c>
      <c r="CB17">
        <v>0</v>
      </c>
      <c r="CC17">
        <f>'MS-GSF_mapping_info'!O2</f>
        <v>206</v>
      </c>
      <c r="CD17">
        <v>0</v>
      </c>
      <c r="CE17">
        <f>SUM(CB17:CD17)</f>
        <v>206</v>
      </c>
      <c r="CG17" s="4">
        <v>1</v>
      </c>
      <c r="CH17" s="5">
        <v>205.9538</v>
      </c>
    </row>
    <row r="18" spans="40:86" x14ac:dyDescent="0.5">
      <c r="BJ18">
        <v>1</v>
      </c>
      <c r="CA18">
        <v>2</v>
      </c>
      <c r="CB18">
        <v>0</v>
      </c>
      <c r="CC18">
        <f>'MS-GSF_mapping_info'!O3</f>
        <v>8.5</v>
      </c>
      <c r="CD18">
        <v>0</v>
      </c>
      <c r="CE18">
        <f>SUM(CB18:CD18)</f>
        <v>8.5</v>
      </c>
      <c r="CG18" s="4">
        <v>2</v>
      </c>
      <c r="CH18" s="5">
        <v>8.5126410000000003</v>
      </c>
    </row>
    <row r="19" spans="40:86" x14ac:dyDescent="0.5">
      <c r="BK19">
        <v>1</v>
      </c>
      <c r="CA19">
        <v>3</v>
      </c>
      <c r="CB19">
        <f>SUM(CE17:CE18)</f>
        <v>214.5</v>
      </c>
      <c r="CC19">
        <f>'MS-GSF_mapping_info'!O4</f>
        <v>0</v>
      </c>
      <c r="CD19">
        <f>'MS-GSF_mapping_info'!P4 *-1</f>
        <v>-214.5</v>
      </c>
      <c r="CE19">
        <f t="shared" ref="CE19:CE39" si="0">SUM(CB19:CD19)</f>
        <v>0</v>
      </c>
      <c r="CG19" s="4">
        <v>3</v>
      </c>
      <c r="CH19" s="5">
        <v>0</v>
      </c>
    </row>
    <row r="20" spans="40:86" x14ac:dyDescent="0.5">
      <c r="BL20">
        <v>1</v>
      </c>
      <c r="BN20">
        <v>2</v>
      </c>
      <c r="CA20">
        <v>4</v>
      </c>
      <c r="CB20">
        <v>0</v>
      </c>
      <c r="CC20">
        <f>'MS-GSF_mapping_info'!O5</f>
        <v>296.5</v>
      </c>
      <c r="CD20">
        <f>'MS-GSF_mapping_info'!P5 *-1</f>
        <v>0</v>
      </c>
      <c r="CE20">
        <f t="shared" si="0"/>
        <v>296.5</v>
      </c>
      <c r="CG20" s="4">
        <v>4</v>
      </c>
      <c r="CH20" s="5">
        <v>296.47739999999999</v>
      </c>
    </row>
    <row r="21" spans="40:86" x14ac:dyDescent="0.5">
      <c r="BL21">
        <v>1</v>
      </c>
      <c r="BM21">
        <v>2</v>
      </c>
      <c r="CA21">
        <v>5</v>
      </c>
      <c r="CB21">
        <f>SUM(CE23+CE26)</f>
        <v>2818.8999999999996</v>
      </c>
      <c r="CC21">
        <f>'MS-GSF_mapping_info'!O6</f>
        <v>0</v>
      </c>
      <c r="CD21">
        <f>'MS-GSF_mapping_info'!P6 *-1</f>
        <v>0</v>
      </c>
      <c r="CE21">
        <f t="shared" si="0"/>
        <v>2818.8999999999996</v>
      </c>
      <c r="CG21" s="4">
        <v>5</v>
      </c>
      <c r="CH21" s="5">
        <v>2818.93</v>
      </c>
    </row>
    <row r="22" spans="40:86" x14ac:dyDescent="0.5">
      <c r="BM22">
        <v>3</v>
      </c>
      <c r="CA22">
        <v>6</v>
      </c>
      <c r="CB22">
        <f>SUM(CE24,CE34)</f>
        <v>10197.6</v>
      </c>
      <c r="CC22">
        <f>'MS-GSF_mapping_info'!O7</f>
        <v>866.4</v>
      </c>
      <c r="CD22">
        <f>'MS-GSF_mapping_info'!P7 *-1</f>
        <v>0</v>
      </c>
      <c r="CE22">
        <f t="shared" si="0"/>
        <v>11064</v>
      </c>
      <c r="CG22" s="4">
        <v>6</v>
      </c>
      <c r="CH22" s="5">
        <v>11063.94</v>
      </c>
    </row>
    <row r="23" spans="40:86" x14ac:dyDescent="0.5">
      <c r="BM23">
        <v>3</v>
      </c>
      <c r="CA23">
        <v>7</v>
      </c>
      <c r="CB23">
        <f>SUM(CE25,CE28)</f>
        <v>591.59999999999991</v>
      </c>
      <c r="CC23">
        <f>'MS-GSF_mapping_info'!O8</f>
        <v>149.30000000000001</v>
      </c>
      <c r="CD23">
        <f>'MS-GSF_mapping_info'!P8 *-1</f>
        <v>0</v>
      </c>
      <c r="CE23">
        <f t="shared" si="0"/>
        <v>740.89999999999986</v>
      </c>
      <c r="CG23" s="4">
        <v>7</v>
      </c>
      <c r="CH23" s="5">
        <v>740.97799999999995</v>
      </c>
    </row>
    <row r="24" spans="40:86" x14ac:dyDescent="0.5">
      <c r="BN24">
        <v>3</v>
      </c>
      <c r="CA24">
        <v>8</v>
      </c>
      <c r="CB24">
        <v>0</v>
      </c>
      <c r="CC24">
        <f>'MS-GSF_mapping_info'!O9</f>
        <v>21.3</v>
      </c>
      <c r="CD24">
        <f>'MS-GSF_mapping_info'!P9 *-1</f>
        <v>0</v>
      </c>
      <c r="CE24">
        <f t="shared" si="0"/>
        <v>21.3</v>
      </c>
      <c r="CG24" s="4">
        <v>8</v>
      </c>
      <c r="CH24" s="5">
        <v>21.25685</v>
      </c>
    </row>
    <row r="25" spans="40:86" x14ac:dyDescent="0.5">
      <c r="AW25">
        <v>4</v>
      </c>
      <c r="BO25">
        <v>3</v>
      </c>
      <c r="CA25">
        <v>9</v>
      </c>
      <c r="CB25">
        <v>0</v>
      </c>
      <c r="CC25">
        <f>'MS-GSF_mapping_info'!O10</f>
        <v>539.29999999999995</v>
      </c>
      <c r="CD25">
        <f>'MS-GSF_mapping_info'!P10 *-1</f>
        <v>0</v>
      </c>
      <c r="CE25">
        <f t="shared" si="0"/>
        <v>539.29999999999995</v>
      </c>
      <c r="CG25" s="4">
        <v>9</v>
      </c>
      <c r="CH25" s="5">
        <v>539.34050000000002</v>
      </c>
    </row>
    <row r="26" spans="40:86" x14ac:dyDescent="0.5">
      <c r="AX26">
        <v>4</v>
      </c>
      <c r="BP26">
        <v>3</v>
      </c>
      <c r="CA26">
        <v>10</v>
      </c>
      <c r="CB26">
        <v>0</v>
      </c>
      <c r="CC26">
        <f>'MS-GSF_mapping_info'!O11</f>
        <v>2078</v>
      </c>
      <c r="CD26">
        <f>'MS-GSF_mapping_info'!P11 *-1</f>
        <v>0</v>
      </c>
      <c r="CE26">
        <f t="shared" si="0"/>
        <v>2078</v>
      </c>
      <c r="CG26" s="4">
        <v>10</v>
      </c>
      <c r="CH26" s="5">
        <v>2077.9520000000002</v>
      </c>
    </row>
    <row r="27" spans="40:86" x14ac:dyDescent="0.5">
      <c r="AY27">
        <v>4</v>
      </c>
      <c r="BP27">
        <v>3</v>
      </c>
      <c r="CA27">
        <v>11</v>
      </c>
      <c r="CB27">
        <f>SUM(CE20,CE22)</f>
        <v>11360.5</v>
      </c>
      <c r="CC27">
        <f>'MS-GSF_mapping_info'!O12</f>
        <v>451.7</v>
      </c>
      <c r="CD27">
        <f>'MS-GSF_mapping_info'!P12 *-1</f>
        <v>0</v>
      </c>
      <c r="CE27">
        <f t="shared" si="0"/>
        <v>11812.2</v>
      </c>
      <c r="CG27" s="4">
        <v>11</v>
      </c>
      <c r="CH27" s="5">
        <v>11812.11</v>
      </c>
    </row>
    <row r="28" spans="40:86" x14ac:dyDescent="0.5">
      <c r="AY28">
        <v>4</v>
      </c>
      <c r="BQ28">
        <v>3</v>
      </c>
      <c r="CA28">
        <v>12</v>
      </c>
      <c r="CB28">
        <v>0</v>
      </c>
      <c r="CC28">
        <f>'MS-GSF_mapping_info'!O13</f>
        <v>52.3</v>
      </c>
      <c r="CD28">
        <f>'MS-GSF_mapping_info'!P13 *-1</f>
        <v>0</v>
      </c>
      <c r="CE28">
        <f t="shared" si="0"/>
        <v>52.3</v>
      </c>
      <c r="CG28" s="4">
        <v>12</v>
      </c>
      <c r="CH28" s="5">
        <v>52.344819999999999</v>
      </c>
    </row>
    <row r="29" spans="40:86" x14ac:dyDescent="0.5">
      <c r="AZ29">
        <v>4</v>
      </c>
      <c r="BQ29">
        <v>3</v>
      </c>
      <c r="CA29">
        <v>13</v>
      </c>
      <c r="CB29">
        <f>SUM(CE27,CE30)</f>
        <v>12000</v>
      </c>
      <c r="CC29">
        <f>'MS-GSF_mapping_info'!O14</f>
        <v>0</v>
      </c>
      <c r="CD29">
        <f>'MS-GSF_mapping_info'!P14 *-1</f>
        <v>0</v>
      </c>
      <c r="CE29">
        <f t="shared" si="0"/>
        <v>12000</v>
      </c>
      <c r="CG29" s="4">
        <v>13</v>
      </c>
      <c r="CH29" s="5">
        <v>11669.77</v>
      </c>
    </row>
    <row r="30" spans="40:86" x14ac:dyDescent="0.5">
      <c r="AZ30">
        <v>4</v>
      </c>
      <c r="BQ30">
        <v>3</v>
      </c>
      <c r="CA30">
        <v>14</v>
      </c>
      <c r="CB30">
        <v>0</v>
      </c>
      <c r="CC30">
        <f>'MS-GSF_mapping_info'!O15</f>
        <v>187.8</v>
      </c>
      <c r="CD30">
        <f>'MS-GSF_mapping_info'!P15 *-1</f>
        <v>0</v>
      </c>
      <c r="CE30">
        <f t="shared" si="0"/>
        <v>187.8</v>
      </c>
      <c r="CG30" s="4">
        <v>14</v>
      </c>
      <c r="CH30" s="5">
        <v>187.83539999999999</v>
      </c>
    </row>
    <row r="31" spans="40:86" x14ac:dyDescent="0.5">
      <c r="AZ31">
        <v>4</v>
      </c>
      <c r="BR31">
        <v>3</v>
      </c>
      <c r="CA31">
        <v>15</v>
      </c>
      <c r="CB31">
        <f>SUM(CE19,CE37)</f>
        <v>12239.3</v>
      </c>
      <c r="CC31">
        <f>'MS-GSF_mapping_info'!O16</f>
        <v>0</v>
      </c>
      <c r="CD31">
        <f>'MS-GSF_mapping_info'!P16 *-1</f>
        <v>-3</v>
      </c>
      <c r="CE31">
        <f t="shared" si="0"/>
        <v>12236.3</v>
      </c>
      <c r="CG31" s="4">
        <v>15</v>
      </c>
      <c r="CH31" s="5">
        <v>236.30860000000001</v>
      </c>
    </row>
    <row r="32" spans="40:86" x14ac:dyDescent="0.5">
      <c r="AN32">
        <v>5</v>
      </c>
      <c r="AO32">
        <v>5</v>
      </c>
      <c r="AP32">
        <v>5</v>
      </c>
      <c r="AQ32">
        <v>5</v>
      </c>
      <c r="AZ32">
        <v>4</v>
      </c>
      <c r="BR32">
        <v>3</v>
      </c>
      <c r="CA32">
        <v>16</v>
      </c>
      <c r="CB32">
        <f>SUM(CE35,CE39)</f>
        <v>12651.999999999998</v>
      </c>
      <c r="CC32">
        <f>'MS-GSF_mapping_info'!O17</f>
        <v>22.6</v>
      </c>
      <c r="CD32">
        <f>'MS-GSF_mapping_info'!P17 *-1</f>
        <v>0</v>
      </c>
      <c r="CE32">
        <f t="shared" si="0"/>
        <v>12674.599999999999</v>
      </c>
      <c r="CG32" s="4">
        <v>16</v>
      </c>
      <c r="CH32" s="5">
        <v>674.62549999999999</v>
      </c>
    </row>
    <row r="33" spans="13:86" x14ac:dyDescent="0.5">
      <c r="AM33">
        <v>5</v>
      </c>
      <c r="AR33">
        <v>5</v>
      </c>
      <c r="BA33">
        <v>4</v>
      </c>
      <c r="BR33">
        <v>3</v>
      </c>
      <c r="CA33">
        <v>17</v>
      </c>
      <c r="CB33">
        <v>0</v>
      </c>
      <c r="CC33">
        <f>'MS-GSF_mapping_info'!O18</f>
        <v>0</v>
      </c>
      <c r="CD33">
        <f>'MS-GSF_mapping_info'!P18 *-1</f>
        <v>0</v>
      </c>
      <c r="CE33">
        <f t="shared" si="0"/>
        <v>0</v>
      </c>
      <c r="CG33" s="4">
        <v>17</v>
      </c>
      <c r="CH33" s="5">
        <v>0</v>
      </c>
    </row>
    <row r="34" spans="13:86" x14ac:dyDescent="0.5">
      <c r="AL34">
        <v>5</v>
      </c>
      <c r="AS34">
        <v>18</v>
      </c>
      <c r="AT34">
        <v>18</v>
      </c>
      <c r="AU34">
        <v>8</v>
      </c>
      <c r="AV34">
        <v>6</v>
      </c>
      <c r="BB34">
        <v>4</v>
      </c>
      <c r="BQ34">
        <v>3</v>
      </c>
      <c r="CA34">
        <v>18</v>
      </c>
      <c r="CB34">
        <f>CE40+CE41</f>
        <v>10040.6</v>
      </c>
      <c r="CC34">
        <f>'MS-GSF_mapping_info'!O19</f>
        <v>135.69999999999999</v>
      </c>
      <c r="CD34">
        <f>'MS-GSF_mapping_info'!P19 *-1</f>
        <v>0</v>
      </c>
      <c r="CE34">
        <f t="shared" si="0"/>
        <v>10176.300000000001</v>
      </c>
      <c r="CG34" s="4">
        <v>18</v>
      </c>
      <c r="CH34" s="5">
        <v>10176.290000000001</v>
      </c>
    </row>
    <row r="35" spans="13:86" x14ac:dyDescent="0.5">
      <c r="AI35">
        <v>7</v>
      </c>
      <c r="AJ35">
        <v>7</v>
      </c>
      <c r="AK35">
        <v>10</v>
      </c>
      <c r="AT35">
        <v>8</v>
      </c>
      <c r="AW35">
        <v>6</v>
      </c>
      <c r="AX35">
        <v>6</v>
      </c>
      <c r="AY35">
        <v>6</v>
      </c>
      <c r="BC35">
        <v>4</v>
      </c>
      <c r="BQ35">
        <v>3</v>
      </c>
      <c r="CA35">
        <v>19</v>
      </c>
      <c r="CC35">
        <f>'MS-GSF_mapping_info'!O20</f>
        <v>77.900000000000006</v>
      </c>
      <c r="CD35">
        <f>'MS-GSF_mapping_info'!P20 *-1</f>
        <v>0</v>
      </c>
      <c r="CE35">
        <f t="shared" si="0"/>
        <v>77.900000000000006</v>
      </c>
      <c r="CG35" s="4">
        <v>19</v>
      </c>
      <c r="CH35" s="5">
        <v>77.855689999999996</v>
      </c>
    </row>
    <row r="36" spans="13:86" x14ac:dyDescent="0.5">
      <c r="AC36">
        <v>9</v>
      </c>
      <c r="AD36">
        <v>9</v>
      </c>
      <c r="AE36">
        <v>9</v>
      </c>
      <c r="AF36">
        <v>9</v>
      </c>
      <c r="AG36">
        <v>9</v>
      </c>
      <c r="AH36">
        <v>12</v>
      </c>
      <c r="AK36">
        <v>10</v>
      </c>
      <c r="AT36">
        <v>8</v>
      </c>
      <c r="AZ36">
        <v>6</v>
      </c>
      <c r="BA36">
        <v>6</v>
      </c>
      <c r="BC36">
        <v>11</v>
      </c>
      <c r="BD36">
        <v>11</v>
      </c>
      <c r="BQ36">
        <v>3</v>
      </c>
      <c r="CA36">
        <v>20</v>
      </c>
      <c r="CC36">
        <f>'MS-GSF_mapping_info'!O21</f>
        <v>0</v>
      </c>
      <c r="CD36">
        <f>'MS-GSF_mapping_info'!P21 *-1</f>
        <v>0</v>
      </c>
      <c r="CE36">
        <f t="shared" si="0"/>
        <v>0</v>
      </c>
      <c r="CG36" s="4">
        <v>20</v>
      </c>
      <c r="CH36" s="5">
        <v>11376.44</v>
      </c>
    </row>
    <row r="37" spans="13:86" x14ac:dyDescent="0.5">
      <c r="Z37">
        <v>9</v>
      </c>
      <c r="AA37">
        <v>9</v>
      </c>
      <c r="AB37">
        <v>9</v>
      </c>
      <c r="AG37">
        <v>12</v>
      </c>
      <c r="AK37">
        <v>10</v>
      </c>
      <c r="AS37">
        <v>8</v>
      </c>
      <c r="BB37">
        <v>6</v>
      </c>
      <c r="BE37">
        <v>11</v>
      </c>
      <c r="BF37">
        <v>11</v>
      </c>
      <c r="BG37">
        <v>11</v>
      </c>
      <c r="BH37">
        <v>11</v>
      </c>
      <c r="BQ37">
        <v>3</v>
      </c>
      <c r="CA37">
        <v>21</v>
      </c>
      <c r="CB37">
        <f>CE29-CB36</f>
        <v>12000</v>
      </c>
      <c r="CC37">
        <f>'MS-GSF_mapping_info'!O22</f>
        <v>239.3</v>
      </c>
      <c r="CD37">
        <f>'MS-GSF_mapping_info'!P22 *-1</f>
        <v>0</v>
      </c>
      <c r="CE37">
        <f t="shared" si="0"/>
        <v>12239.3</v>
      </c>
      <c r="CG37" s="4">
        <v>21</v>
      </c>
      <c r="CH37" s="5">
        <v>239.27090000000001</v>
      </c>
    </row>
    <row r="38" spans="13:86" x14ac:dyDescent="0.5">
      <c r="AF38">
        <v>12</v>
      </c>
      <c r="AL38">
        <v>10</v>
      </c>
      <c r="AS38">
        <v>8</v>
      </c>
      <c r="BI38">
        <v>11</v>
      </c>
      <c r="BJ38">
        <v>14</v>
      </c>
      <c r="BK38">
        <v>13</v>
      </c>
      <c r="BL38">
        <v>13</v>
      </c>
      <c r="BM38">
        <v>13</v>
      </c>
      <c r="BN38">
        <v>21</v>
      </c>
      <c r="BO38">
        <v>21</v>
      </c>
      <c r="BQ38">
        <v>3</v>
      </c>
      <c r="BS38">
        <v>22</v>
      </c>
      <c r="BT38">
        <v>22</v>
      </c>
      <c r="CA38">
        <v>22</v>
      </c>
      <c r="CC38">
        <f>'MS-GSF_mapping_info'!O23</f>
        <v>0</v>
      </c>
      <c r="CD38">
        <f>'MS-GSF_mapping_info'!P23 *-1</f>
        <v>0</v>
      </c>
      <c r="CE38">
        <f t="shared" si="0"/>
        <v>0</v>
      </c>
      <c r="CG38" s="4">
        <v>22</v>
      </c>
      <c r="CH38" s="5">
        <v>0</v>
      </c>
    </row>
    <row r="39" spans="13:86" x14ac:dyDescent="0.5">
      <c r="AE39">
        <v>12</v>
      </c>
      <c r="AL39">
        <v>10</v>
      </c>
      <c r="AS39">
        <v>8</v>
      </c>
      <c r="BI39">
        <v>14</v>
      </c>
      <c r="BN39">
        <v>20</v>
      </c>
      <c r="BO39">
        <v>20</v>
      </c>
      <c r="BP39">
        <v>21</v>
      </c>
      <c r="BQ39">
        <v>21</v>
      </c>
      <c r="BR39">
        <v>15</v>
      </c>
      <c r="BS39">
        <v>23</v>
      </c>
      <c r="BU39">
        <v>22</v>
      </c>
      <c r="BV39">
        <v>22</v>
      </c>
      <c r="BW39">
        <v>22</v>
      </c>
      <c r="BX39">
        <v>22</v>
      </c>
      <c r="CA39">
        <v>23</v>
      </c>
      <c r="CB39">
        <f>CE31-CB38</f>
        <v>12236.3</v>
      </c>
      <c r="CC39">
        <f>'MS-GSF_mapping_info'!O24</f>
        <v>337.8</v>
      </c>
      <c r="CD39">
        <f>'MS-GSF_mapping_info'!P24 *-1</f>
        <v>0</v>
      </c>
      <c r="CE39">
        <f t="shared" si="0"/>
        <v>12574.099999999999</v>
      </c>
      <c r="CG39" s="4">
        <v>23</v>
      </c>
      <c r="CH39" s="5">
        <v>574.13459999999998</v>
      </c>
    </row>
    <row r="40" spans="13:86" x14ac:dyDescent="0.5">
      <c r="AD40">
        <v>12</v>
      </c>
      <c r="AK40">
        <v>10</v>
      </c>
      <c r="AS40">
        <v>8</v>
      </c>
      <c r="BI40">
        <v>14</v>
      </c>
      <c r="BP40">
        <v>20</v>
      </c>
      <c r="BT40">
        <v>23</v>
      </c>
      <c r="BU40">
        <v>23</v>
      </c>
      <c r="BV40">
        <v>23</v>
      </c>
      <c r="BW40">
        <v>19</v>
      </c>
      <c r="BX40">
        <v>16</v>
      </c>
      <c r="CA40" t="s">
        <v>90</v>
      </c>
      <c r="CE40">
        <v>10040.6</v>
      </c>
    </row>
    <row r="41" spans="13:86" x14ac:dyDescent="0.5">
      <c r="AC41">
        <v>12</v>
      </c>
      <c r="AK41">
        <v>10</v>
      </c>
      <c r="AS41">
        <v>8</v>
      </c>
      <c r="BI41">
        <v>14</v>
      </c>
      <c r="BQ41">
        <v>20</v>
      </c>
      <c r="BV41">
        <v>19</v>
      </c>
      <c r="CA41" t="s">
        <v>91</v>
      </c>
      <c r="CE41">
        <v>0</v>
      </c>
    </row>
    <row r="42" spans="13:86" x14ac:dyDescent="0.5">
      <c r="X42">
        <v>12</v>
      </c>
      <c r="Y42">
        <v>12</v>
      </c>
      <c r="Z42">
        <v>12</v>
      </c>
      <c r="AA42">
        <v>12</v>
      </c>
      <c r="AB42">
        <v>12</v>
      </c>
      <c r="AK42">
        <v>10</v>
      </c>
      <c r="AT42">
        <v>8</v>
      </c>
      <c r="BI42">
        <v>14</v>
      </c>
      <c r="BQ42">
        <v>20</v>
      </c>
      <c r="BU42">
        <v>17</v>
      </c>
    </row>
    <row r="43" spans="13:86" x14ac:dyDescent="0.5">
      <c r="W43">
        <v>12</v>
      </c>
      <c r="AJ43">
        <v>10</v>
      </c>
      <c r="AT43">
        <v>8</v>
      </c>
      <c r="BI43">
        <v>14</v>
      </c>
      <c r="BR43">
        <v>20</v>
      </c>
      <c r="BU43">
        <v>17</v>
      </c>
    </row>
    <row r="44" spans="13:86" x14ac:dyDescent="0.5">
      <c r="V44">
        <v>12</v>
      </c>
      <c r="AJ44">
        <v>10</v>
      </c>
      <c r="AT44">
        <v>8</v>
      </c>
      <c r="BI44">
        <v>14</v>
      </c>
      <c r="BU44">
        <v>17</v>
      </c>
    </row>
    <row r="45" spans="13:86" x14ac:dyDescent="0.5">
      <c r="U45">
        <v>12</v>
      </c>
      <c r="AJ45">
        <v>10</v>
      </c>
      <c r="AT45">
        <v>8</v>
      </c>
      <c r="BI45">
        <v>14</v>
      </c>
      <c r="BT45">
        <v>17</v>
      </c>
    </row>
    <row r="46" spans="13:86" x14ac:dyDescent="0.5">
      <c r="Q46">
        <v>12</v>
      </c>
      <c r="R46">
        <v>12</v>
      </c>
      <c r="S46">
        <v>12</v>
      </c>
      <c r="T46">
        <v>12</v>
      </c>
      <c r="AJ46">
        <v>10</v>
      </c>
      <c r="AT46">
        <v>8</v>
      </c>
      <c r="BI46">
        <v>14</v>
      </c>
      <c r="BT46">
        <v>17</v>
      </c>
    </row>
    <row r="47" spans="13:86" x14ac:dyDescent="0.5">
      <c r="O47">
        <v>12</v>
      </c>
      <c r="P47">
        <v>12</v>
      </c>
      <c r="AJ47">
        <v>10</v>
      </c>
      <c r="AT47">
        <v>8</v>
      </c>
      <c r="BT47">
        <v>17</v>
      </c>
    </row>
    <row r="48" spans="13:86" x14ac:dyDescent="0.5">
      <c r="M48">
        <v>12</v>
      </c>
      <c r="N48">
        <v>12</v>
      </c>
      <c r="AK48">
        <v>10</v>
      </c>
      <c r="AT48">
        <v>8</v>
      </c>
      <c r="BT48">
        <v>17</v>
      </c>
    </row>
    <row r="49" spans="11:73" x14ac:dyDescent="0.5">
      <c r="L49">
        <v>12</v>
      </c>
      <c r="AL49">
        <v>10</v>
      </c>
      <c r="AU49">
        <v>8</v>
      </c>
      <c r="BT49">
        <v>17</v>
      </c>
    </row>
    <row r="50" spans="11:73" x14ac:dyDescent="0.5">
      <c r="L50">
        <v>12</v>
      </c>
      <c r="AM50">
        <v>10</v>
      </c>
      <c r="AU50">
        <v>8</v>
      </c>
      <c r="BT50">
        <v>17</v>
      </c>
    </row>
    <row r="51" spans="11:73" x14ac:dyDescent="0.5">
      <c r="K51">
        <v>12</v>
      </c>
      <c r="AM51">
        <v>10</v>
      </c>
      <c r="AV51">
        <v>8</v>
      </c>
      <c r="BT51">
        <v>17</v>
      </c>
    </row>
    <row r="52" spans="11:73" x14ac:dyDescent="0.5">
      <c r="AL52">
        <v>10</v>
      </c>
      <c r="AW52">
        <v>8</v>
      </c>
      <c r="BU52">
        <v>17</v>
      </c>
    </row>
    <row r="53" spans="11:73" x14ac:dyDescent="0.5">
      <c r="AL53">
        <v>10</v>
      </c>
      <c r="BU53">
        <v>17</v>
      </c>
    </row>
    <row r="54" spans="11:73" x14ac:dyDescent="0.5">
      <c r="AL54">
        <v>10</v>
      </c>
      <c r="BU54">
        <v>17</v>
      </c>
    </row>
    <row r="55" spans="11:73" x14ac:dyDescent="0.5">
      <c r="AL55">
        <v>10</v>
      </c>
      <c r="BU55">
        <v>17</v>
      </c>
    </row>
    <row r="56" spans="11:73" x14ac:dyDescent="0.5">
      <c r="AL56">
        <v>10</v>
      </c>
    </row>
    <row r="57" spans="11:73" x14ac:dyDescent="0.5">
      <c r="AK57">
        <v>10</v>
      </c>
    </row>
    <row r="58" spans="11:73" x14ac:dyDescent="0.5">
      <c r="AK58">
        <v>10</v>
      </c>
    </row>
  </sheetData>
  <conditionalFormatting sqref="K18:B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5"/>
  <sheetViews>
    <sheetView topLeftCell="I1" workbookViewId="0">
      <selection activeCell="V1" sqref="V1:V25"/>
    </sheetView>
  </sheetViews>
  <sheetFormatPr defaultRowHeight="14.35" x14ac:dyDescent="0.5"/>
  <cols>
    <col min="1" max="1" width="29.1171875" customWidth="1"/>
    <col min="3" max="3" width="11.29296875" customWidth="1"/>
    <col min="4" max="4" width="11.1171875" bestFit="1" customWidth="1"/>
    <col min="8" max="8" width="67.703125" bestFit="1" customWidth="1"/>
    <col min="9" max="9" width="2" bestFit="1" customWidth="1"/>
    <col min="10" max="10" width="18.5859375" bestFit="1" customWidth="1"/>
    <col min="11" max="11" width="1.87890625" bestFit="1" customWidth="1"/>
    <col min="14" max="14" width="19.5859375" bestFit="1" customWidth="1"/>
    <col min="15" max="16" width="10.29296875" customWidth="1"/>
    <col min="19" max="19" width="59.1171875" bestFit="1" customWidth="1"/>
    <col min="20" max="20" width="12.41015625" customWidth="1"/>
  </cols>
  <sheetData>
    <row r="1" spans="1:22" x14ac:dyDescent="0.5">
      <c r="A1" t="s">
        <v>25</v>
      </c>
      <c r="B1" t="s">
        <v>24</v>
      </c>
      <c r="C1" t="s">
        <v>23</v>
      </c>
      <c r="D1" t="s">
        <v>22</v>
      </c>
      <c r="N1" t="s">
        <v>54</v>
      </c>
      <c r="O1" t="s">
        <v>55</v>
      </c>
      <c r="P1" t="s">
        <v>56</v>
      </c>
      <c r="S1" t="s">
        <v>27</v>
      </c>
      <c r="T1">
        <f t="shared" ref="T1:T25" si="0">VLOOKUP(S1,$H$2:$M$24,6,FALSE)</f>
        <v>1</v>
      </c>
      <c r="U1">
        <v>0</v>
      </c>
      <c r="V1">
        <f>U1/10</f>
        <v>0</v>
      </c>
    </row>
    <row r="2" spans="1:22" x14ac:dyDescent="0.5">
      <c r="A2" t="s">
        <v>21</v>
      </c>
      <c r="B2">
        <v>1</v>
      </c>
      <c r="C2">
        <v>0</v>
      </c>
      <c r="D2">
        <v>0</v>
      </c>
      <c r="H2" t="s">
        <v>27</v>
      </c>
      <c r="I2" t="s">
        <v>28</v>
      </c>
      <c r="J2" t="s">
        <v>29</v>
      </c>
      <c r="K2" t="s">
        <v>30</v>
      </c>
      <c r="L2" t="s">
        <v>31</v>
      </c>
      <c r="M2">
        <v>1</v>
      </c>
      <c r="N2">
        <v>0</v>
      </c>
      <c r="O2">
        <v>206</v>
      </c>
      <c r="P2">
        <v>0</v>
      </c>
      <c r="S2" t="s">
        <v>32</v>
      </c>
      <c r="T2">
        <f t="shared" si="0"/>
        <v>2</v>
      </c>
      <c r="U2">
        <v>0</v>
      </c>
      <c r="V2">
        <f t="shared" ref="V2:V25" si="1">U2/10</f>
        <v>0</v>
      </c>
    </row>
    <row r="3" spans="1:22" x14ac:dyDescent="0.5">
      <c r="A3" t="s">
        <v>20</v>
      </c>
      <c r="B3">
        <v>2</v>
      </c>
      <c r="C3">
        <v>0</v>
      </c>
      <c r="D3">
        <v>0</v>
      </c>
      <c r="H3" t="s">
        <v>32</v>
      </c>
      <c r="I3" t="s">
        <v>28</v>
      </c>
      <c r="J3" t="s">
        <v>29</v>
      </c>
      <c r="K3" t="s">
        <v>30</v>
      </c>
      <c r="L3" t="s">
        <v>31</v>
      </c>
      <c r="M3">
        <v>2</v>
      </c>
      <c r="N3">
        <v>0</v>
      </c>
      <c r="O3">
        <v>8.5</v>
      </c>
      <c r="P3">
        <v>0</v>
      </c>
      <c r="S3" t="s">
        <v>33</v>
      </c>
      <c r="T3">
        <f t="shared" si="0"/>
        <v>3</v>
      </c>
      <c r="U3">
        <v>1413</v>
      </c>
      <c r="V3">
        <f t="shared" si="1"/>
        <v>141.30000000000001</v>
      </c>
    </row>
    <row r="4" spans="1:22" x14ac:dyDescent="0.5">
      <c r="A4" t="s">
        <v>19</v>
      </c>
      <c r="B4">
        <v>3</v>
      </c>
      <c r="C4">
        <v>0</v>
      </c>
      <c r="D4">
        <v>0</v>
      </c>
      <c r="H4" t="s">
        <v>33</v>
      </c>
      <c r="I4" t="s">
        <v>28</v>
      </c>
      <c r="J4" t="s">
        <v>29</v>
      </c>
      <c r="K4" t="s">
        <v>30</v>
      </c>
      <c r="L4" t="s">
        <v>31</v>
      </c>
      <c r="M4">
        <v>3</v>
      </c>
      <c r="N4">
        <v>214.5</v>
      </c>
      <c r="O4">
        <v>0</v>
      </c>
      <c r="P4">
        <v>214.5</v>
      </c>
      <c r="S4" t="s">
        <v>34</v>
      </c>
      <c r="T4">
        <f t="shared" si="0"/>
        <v>4</v>
      </c>
      <c r="U4">
        <v>0</v>
      </c>
      <c r="V4">
        <f t="shared" si="1"/>
        <v>0</v>
      </c>
    </row>
    <row r="5" spans="1:22" x14ac:dyDescent="0.5">
      <c r="A5" t="s">
        <v>18</v>
      </c>
      <c r="B5">
        <v>4</v>
      </c>
      <c r="C5">
        <v>0</v>
      </c>
      <c r="D5">
        <v>0</v>
      </c>
      <c r="H5" t="s">
        <v>34</v>
      </c>
      <c r="I5" t="s">
        <v>28</v>
      </c>
      <c r="J5" t="s">
        <v>29</v>
      </c>
      <c r="K5" t="s">
        <v>30</v>
      </c>
      <c r="L5" t="s">
        <v>31</v>
      </c>
      <c r="M5">
        <v>4</v>
      </c>
      <c r="N5">
        <v>0</v>
      </c>
      <c r="O5">
        <v>296.5</v>
      </c>
      <c r="P5">
        <v>0</v>
      </c>
      <c r="S5" t="s">
        <v>35</v>
      </c>
      <c r="T5">
        <f t="shared" si="0"/>
        <v>5</v>
      </c>
      <c r="U5">
        <v>52263</v>
      </c>
      <c r="V5">
        <f t="shared" si="1"/>
        <v>5226.3</v>
      </c>
    </row>
    <row r="6" spans="1:22" x14ac:dyDescent="0.5">
      <c r="A6" t="s">
        <v>17</v>
      </c>
      <c r="B6">
        <v>5</v>
      </c>
      <c r="C6">
        <v>0</v>
      </c>
      <c r="D6">
        <v>0</v>
      </c>
      <c r="H6" t="s">
        <v>35</v>
      </c>
      <c r="I6" t="s">
        <v>28</v>
      </c>
      <c r="J6" t="s">
        <v>29</v>
      </c>
      <c r="K6" t="s">
        <v>30</v>
      </c>
      <c r="L6" t="s">
        <v>31</v>
      </c>
      <c r="M6">
        <v>5</v>
      </c>
      <c r="N6">
        <v>2818.9</v>
      </c>
      <c r="O6">
        <v>0</v>
      </c>
      <c r="P6">
        <v>0</v>
      </c>
      <c r="S6" t="s">
        <v>36</v>
      </c>
      <c r="T6">
        <f t="shared" si="0"/>
        <v>6</v>
      </c>
      <c r="U6">
        <v>92949</v>
      </c>
      <c r="V6">
        <f t="shared" si="1"/>
        <v>9294.9</v>
      </c>
    </row>
    <row r="7" spans="1:22" x14ac:dyDescent="0.5">
      <c r="A7" t="s">
        <v>16</v>
      </c>
      <c r="B7">
        <v>6</v>
      </c>
      <c r="C7">
        <v>0</v>
      </c>
      <c r="D7">
        <v>0</v>
      </c>
      <c r="H7" t="s">
        <v>36</v>
      </c>
      <c r="I7" t="s">
        <v>28</v>
      </c>
      <c r="J7" t="s">
        <v>29</v>
      </c>
      <c r="K7" t="s">
        <v>30</v>
      </c>
      <c r="L7" t="s">
        <v>31</v>
      </c>
      <c r="M7">
        <v>6</v>
      </c>
      <c r="N7">
        <v>10197.6</v>
      </c>
      <c r="O7">
        <v>866.4</v>
      </c>
      <c r="P7">
        <v>0</v>
      </c>
      <c r="S7" t="s">
        <v>37</v>
      </c>
      <c r="T7">
        <f t="shared" si="0"/>
        <v>7</v>
      </c>
      <c r="U7">
        <v>21352</v>
      </c>
      <c r="V7">
        <f t="shared" si="1"/>
        <v>2135.1999999999998</v>
      </c>
    </row>
    <row r="8" spans="1:22" x14ac:dyDescent="0.5">
      <c r="A8" t="s">
        <v>15</v>
      </c>
      <c r="B8">
        <v>7</v>
      </c>
      <c r="C8">
        <v>0</v>
      </c>
      <c r="D8">
        <v>0</v>
      </c>
      <c r="H8" t="s">
        <v>37</v>
      </c>
      <c r="I8" t="s">
        <v>28</v>
      </c>
      <c r="J8" t="s">
        <v>29</v>
      </c>
      <c r="K8" t="s">
        <v>30</v>
      </c>
      <c r="L8" t="s">
        <v>31</v>
      </c>
      <c r="M8">
        <v>7</v>
      </c>
      <c r="N8">
        <v>591.6</v>
      </c>
      <c r="O8">
        <v>149.30000000000001</v>
      </c>
      <c r="P8">
        <v>0</v>
      </c>
      <c r="S8" t="s">
        <v>38</v>
      </c>
      <c r="T8">
        <f t="shared" si="0"/>
        <v>8</v>
      </c>
      <c r="U8">
        <v>0</v>
      </c>
      <c r="V8">
        <f t="shared" si="1"/>
        <v>0</v>
      </c>
    </row>
    <row r="9" spans="1:22" x14ac:dyDescent="0.5">
      <c r="A9" t="s">
        <v>14</v>
      </c>
      <c r="B9">
        <v>8</v>
      </c>
      <c r="C9">
        <v>0</v>
      </c>
      <c r="D9">
        <v>0</v>
      </c>
      <c r="H9" t="s">
        <v>38</v>
      </c>
      <c r="I9" t="s">
        <v>28</v>
      </c>
      <c r="J9" t="s">
        <v>29</v>
      </c>
      <c r="K9" t="s">
        <v>30</v>
      </c>
      <c r="L9" t="s">
        <v>31</v>
      </c>
      <c r="M9">
        <v>8</v>
      </c>
      <c r="N9">
        <v>0</v>
      </c>
      <c r="O9">
        <v>21.3</v>
      </c>
      <c r="P9">
        <v>0</v>
      </c>
      <c r="S9" t="s">
        <v>39</v>
      </c>
      <c r="T9">
        <f t="shared" si="0"/>
        <v>9</v>
      </c>
      <c r="U9">
        <v>0</v>
      </c>
      <c r="V9">
        <f t="shared" si="1"/>
        <v>0</v>
      </c>
    </row>
    <row r="10" spans="1:22" x14ac:dyDescent="0.5">
      <c r="A10" t="s">
        <v>13</v>
      </c>
      <c r="B10">
        <v>9</v>
      </c>
      <c r="C10">
        <v>0</v>
      </c>
      <c r="D10">
        <v>0</v>
      </c>
      <c r="H10" t="s">
        <v>39</v>
      </c>
      <c r="I10" t="s">
        <v>28</v>
      </c>
      <c r="J10" t="s">
        <v>29</v>
      </c>
      <c r="K10" t="s">
        <v>30</v>
      </c>
      <c r="L10" t="s">
        <v>31</v>
      </c>
      <c r="M10">
        <v>9</v>
      </c>
      <c r="N10">
        <v>0</v>
      </c>
      <c r="O10">
        <v>539.29999999999995</v>
      </c>
      <c r="P10">
        <v>0</v>
      </c>
      <c r="S10" t="s">
        <v>40</v>
      </c>
      <c r="T10">
        <f t="shared" si="0"/>
        <v>10</v>
      </c>
      <c r="U10">
        <v>0</v>
      </c>
      <c r="V10">
        <f t="shared" si="1"/>
        <v>0</v>
      </c>
    </row>
    <row r="11" spans="1:22" x14ac:dyDescent="0.5">
      <c r="A11" t="s">
        <v>12</v>
      </c>
      <c r="B11">
        <v>10</v>
      </c>
      <c r="C11">
        <v>0</v>
      </c>
      <c r="D11">
        <v>0</v>
      </c>
      <c r="H11" t="s">
        <v>40</v>
      </c>
      <c r="I11" t="s">
        <v>28</v>
      </c>
      <c r="J11" t="s">
        <v>29</v>
      </c>
      <c r="K11" t="s">
        <v>30</v>
      </c>
      <c r="L11" t="s">
        <v>31</v>
      </c>
      <c r="M11">
        <v>10</v>
      </c>
      <c r="N11">
        <v>0</v>
      </c>
      <c r="O11">
        <v>2078</v>
      </c>
      <c r="P11">
        <v>0</v>
      </c>
      <c r="S11" t="s">
        <v>41</v>
      </c>
      <c r="T11">
        <f t="shared" si="0"/>
        <v>11</v>
      </c>
      <c r="U11">
        <v>104789</v>
      </c>
      <c r="V11">
        <f t="shared" si="1"/>
        <v>10478.9</v>
      </c>
    </row>
    <row r="12" spans="1:22" x14ac:dyDescent="0.5">
      <c r="A12" t="s">
        <v>11</v>
      </c>
      <c r="B12">
        <v>11</v>
      </c>
      <c r="C12">
        <v>0</v>
      </c>
      <c r="D12">
        <v>0</v>
      </c>
      <c r="H12" t="s">
        <v>41</v>
      </c>
      <c r="I12" t="s">
        <v>28</v>
      </c>
      <c r="J12" t="s">
        <v>29</v>
      </c>
      <c r="K12" t="s">
        <v>30</v>
      </c>
      <c r="L12" t="s">
        <v>31</v>
      </c>
      <c r="M12">
        <v>11</v>
      </c>
      <c r="N12">
        <v>11360.5</v>
      </c>
      <c r="O12">
        <v>451.7</v>
      </c>
      <c r="P12">
        <v>0</v>
      </c>
      <c r="S12" t="s">
        <v>42</v>
      </c>
      <c r="T12">
        <f t="shared" si="0"/>
        <v>12</v>
      </c>
      <c r="U12">
        <v>0</v>
      </c>
      <c r="V12">
        <f t="shared" si="1"/>
        <v>0</v>
      </c>
    </row>
    <row r="13" spans="1:22" x14ac:dyDescent="0.5">
      <c r="A13" t="s">
        <v>10</v>
      </c>
      <c r="B13">
        <v>12</v>
      </c>
      <c r="C13">
        <v>0</v>
      </c>
      <c r="D13">
        <v>0</v>
      </c>
      <c r="H13" t="s">
        <v>42</v>
      </c>
      <c r="I13" t="s">
        <v>28</v>
      </c>
      <c r="J13" t="s">
        <v>29</v>
      </c>
      <c r="K13" t="s">
        <v>30</v>
      </c>
      <c r="L13" t="s">
        <v>31</v>
      </c>
      <c r="M13">
        <v>12</v>
      </c>
      <c r="N13">
        <v>0</v>
      </c>
      <c r="O13">
        <v>52.3</v>
      </c>
      <c r="P13">
        <v>0</v>
      </c>
      <c r="S13" t="s">
        <v>43</v>
      </c>
      <c r="T13">
        <f t="shared" si="0"/>
        <v>13</v>
      </c>
      <c r="U13">
        <v>113950</v>
      </c>
      <c r="V13">
        <f t="shared" si="1"/>
        <v>11395</v>
      </c>
    </row>
    <row r="14" spans="1:22" x14ac:dyDescent="0.5">
      <c r="A14" t="s">
        <v>9</v>
      </c>
      <c r="B14">
        <v>13</v>
      </c>
      <c r="C14">
        <v>0</v>
      </c>
      <c r="D14">
        <v>0</v>
      </c>
      <c r="H14" t="s">
        <v>43</v>
      </c>
      <c r="I14" t="s">
        <v>28</v>
      </c>
      <c r="J14" t="s">
        <v>29</v>
      </c>
      <c r="K14" t="s">
        <v>30</v>
      </c>
      <c r="L14" t="s">
        <v>31</v>
      </c>
      <c r="M14">
        <v>13</v>
      </c>
      <c r="N14">
        <v>12000</v>
      </c>
      <c r="O14">
        <v>0</v>
      </c>
      <c r="P14">
        <v>0</v>
      </c>
      <c r="S14" t="s">
        <v>44</v>
      </c>
      <c r="T14">
        <f t="shared" si="0"/>
        <v>14</v>
      </c>
      <c r="U14">
        <v>0</v>
      </c>
      <c r="V14">
        <f t="shared" si="1"/>
        <v>0</v>
      </c>
    </row>
    <row r="15" spans="1:22" x14ac:dyDescent="0.5">
      <c r="A15" t="s">
        <v>8</v>
      </c>
      <c r="B15">
        <v>14</v>
      </c>
      <c r="C15">
        <v>0</v>
      </c>
      <c r="D15">
        <v>0</v>
      </c>
      <c r="H15" t="s">
        <v>44</v>
      </c>
      <c r="I15" t="s">
        <v>28</v>
      </c>
      <c r="J15" t="s">
        <v>29</v>
      </c>
      <c r="K15" t="s">
        <v>30</v>
      </c>
      <c r="L15" t="s">
        <v>31</v>
      </c>
      <c r="M15">
        <v>14</v>
      </c>
      <c r="N15">
        <v>0</v>
      </c>
      <c r="O15">
        <v>187.8</v>
      </c>
      <c r="P15">
        <v>0</v>
      </c>
      <c r="S15" t="s">
        <v>45</v>
      </c>
      <c r="T15">
        <f t="shared" si="0"/>
        <v>15</v>
      </c>
      <c r="U15">
        <v>116645</v>
      </c>
      <c r="V15">
        <f t="shared" si="1"/>
        <v>11664.5</v>
      </c>
    </row>
    <row r="16" spans="1:22" x14ac:dyDescent="0.5">
      <c r="A16" t="s">
        <v>7</v>
      </c>
      <c r="B16">
        <v>15</v>
      </c>
      <c r="C16">
        <v>0</v>
      </c>
      <c r="D16">
        <v>0</v>
      </c>
      <c r="H16" t="s">
        <v>45</v>
      </c>
      <c r="I16" t="s">
        <v>28</v>
      </c>
      <c r="J16" t="s">
        <v>29</v>
      </c>
      <c r="K16" t="s">
        <v>30</v>
      </c>
      <c r="L16" t="s">
        <v>31</v>
      </c>
      <c r="M16">
        <v>15</v>
      </c>
      <c r="N16">
        <v>239.3</v>
      </c>
      <c r="O16">
        <v>0</v>
      </c>
      <c r="P16">
        <v>3</v>
      </c>
      <c r="S16" t="s">
        <v>46</v>
      </c>
      <c r="T16">
        <f t="shared" si="0"/>
        <v>16</v>
      </c>
      <c r="U16">
        <v>0</v>
      </c>
      <c r="V16">
        <f t="shared" si="1"/>
        <v>0</v>
      </c>
    </row>
    <row r="17" spans="1:22" x14ac:dyDescent="0.5">
      <c r="A17" t="s">
        <v>6</v>
      </c>
      <c r="B17">
        <v>16</v>
      </c>
      <c r="C17">
        <v>0</v>
      </c>
      <c r="D17">
        <v>0</v>
      </c>
      <c r="H17" t="s">
        <v>46</v>
      </c>
      <c r="I17" t="s">
        <v>28</v>
      </c>
      <c r="J17" t="s">
        <v>29</v>
      </c>
      <c r="K17" t="s">
        <v>30</v>
      </c>
      <c r="L17" t="s">
        <v>31</v>
      </c>
      <c r="M17">
        <v>16</v>
      </c>
      <c r="N17">
        <v>0</v>
      </c>
      <c r="O17">
        <v>22.6</v>
      </c>
      <c r="P17">
        <v>0</v>
      </c>
      <c r="S17" t="s">
        <v>47</v>
      </c>
      <c r="T17">
        <f t="shared" si="0"/>
        <v>17</v>
      </c>
      <c r="U17">
        <v>0</v>
      </c>
      <c r="V17">
        <f t="shared" si="1"/>
        <v>0</v>
      </c>
    </row>
    <row r="18" spans="1:22" x14ac:dyDescent="0.5">
      <c r="A18" t="s">
        <v>5</v>
      </c>
      <c r="B18">
        <v>17</v>
      </c>
      <c r="C18">
        <v>0</v>
      </c>
      <c r="D18">
        <v>0</v>
      </c>
      <c r="H18" t="s">
        <v>47</v>
      </c>
      <c r="I18" t="s">
        <v>28</v>
      </c>
      <c r="J18" t="s">
        <v>29</v>
      </c>
      <c r="K18" t="s">
        <v>30</v>
      </c>
      <c r="L18" t="s">
        <v>31</v>
      </c>
      <c r="M18">
        <v>17</v>
      </c>
      <c r="N18">
        <v>0</v>
      </c>
      <c r="O18">
        <v>0</v>
      </c>
      <c r="P18">
        <v>0</v>
      </c>
      <c r="S18" t="s">
        <v>48</v>
      </c>
      <c r="T18">
        <f t="shared" si="0"/>
        <v>18</v>
      </c>
      <c r="U18">
        <v>90967</v>
      </c>
      <c r="V18">
        <f t="shared" si="1"/>
        <v>9096.7000000000007</v>
      </c>
    </row>
    <row r="19" spans="1:22" x14ac:dyDescent="0.5">
      <c r="A19" t="s">
        <v>26</v>
      </c>
      <c r="B19">
        <v>18</v>
      </c>
      <c r="C19">
        <v>0</v>
      </c>
      <c r="D19">
        <v>1</v>
      </c>
      <c r="H19" t="s">
        <v>48</v>
      </c>
      <c r="I19" t="s">
        <v>28</v>
      </c>
      <c r="J19" t="s">
        <v>29</v>
      </c>
      <c r="K19" t="s">
        <v>30</v>
      </c>
      <c r="L19" t="s">
        <v>31</v>
      </c>
      <c r="M19">
        <v>18</v>
      </c>
      <c r="N19">
        <v>10040.6</v>
      </c>
      <c r="O19">
        <v>135.69999999999999</v>
      </c>
      <c r="P19">
        <v>0</v>
      </c>
      <c r="S19" t="s">
        <v>49</v>
      </c>
      <c r="T19">
        <f t="shared" si="0"/>
        <v>19</v>
      </c>
      <c r="U19">
        <v>18817</v>
      </c>
      <c r="V19">
        <f t="shared" si="1"/>
        <v>1881.7</v>
      </c>
    </row>
    <row r="20" spans="1:22" x14ac:dyDescent="0.5">
      <c r="A20" t="s">
        <v>4</v>
      </c>
      <c r="B20">
        <v>19</v>
      </c>
      <c r="C20">
        <v>0</v>
      </c>
      <c r="D20">
        <v>1</v>
      </c>
      <c r="H20" t="s">
        <v>49</v>
      </c>
      <c r="I20" t="s">
        <v>28</v>
      </c>
      <c r="J20" t="s">
        <v>29</v>
      </c>
      <c r="K20" t="s">
        <v>30</v>
      </c>
      <c r="L20" t="s">
        <v>31</v>
      </c>
      <c r="M20">
        <v>19</v>
      </c>
      <c r="N20">
        <v>0</v>
      </c>
      <c r="O20">
        <v>77.900000000000006</v>
      </c>
      <c r="P20">
        <v>0</v>
      </c>
      <c r="S20" t="s">
        <v>50</v>
      </c>
      <c r="T20">
        <f t="shared" si="0"/>
        <v>20</v>
      </c>
      <c r="U20">
        <v>0</v>
      </c>
      <c r="V20">
        <f t="shared" si="1"/>
        <v>0</v>
      </c>
    </row>
    <row r="21" spans="1:22" x14ac:dyDescent="0.5">
      <c r="A21" t="s">
        <v>3</v>
      </c>
      <c r="B21">
        <v>20</v>
      </c>
      <c r="C21">
        <v>1</v>
      </c>
      <c r="D21">
        <v>0</v>
      </c>
      <c r="H21" t="s">
        <v>50</v>
      </c>
      <c r="I21" t="s">
        <v>28</v>
      </c>
      <c r="J21" t="s">
        <v>29</v>
      </c>
      <c r="K21" t="s">
        <v>30</v>
      </c>
      <c r="L21" t="s">
        <v>31</v>
      </c>
      <c r="M21">
        <v>20</v>
      </c>
      <c r="N21">
        <v>12000</v>
      </c>
      <c r="O21">
        <v>0</v>
      </c>
      <c r="P21">
        <v>0</v>
      </c>
      <c r="S21" t="s">
        <v>51</v>
      </c>
      <c r="T21">
        <f t="shared" si="0"/>
        <v>21</v>
      </c>
      <c r="U21">
        <v>114887</v>
      </c>
      <c r="V21">
        <f t="shared" si="1"/>
        <v>11488.7</v>
      </c>
    </row>
    <row r="22" spans="1:22" x14ac:dyDescent="0.5">
      <c r="A22" t="s">
        <v>2</v>
      </c>
      <c r="B22">
        <v>21</v>
      </c>
      <c r="C22">
        <v>0</v>
      </c>
      <c r="D22">
        <v>0</v>
      </c>
      <c r="H22" t="s">
        <v>51</v>
      </c>
      <c r="I22" t="s">
        <v>28</v>
      </c>
      <c r="J22" t="s">
        <v>29</v>
      </c>
      <c r="K22" t="s">
        <v>30</v>
      </c>
      <c r="L22" t="s">
        <v>31</v>
      </c>
      <c r="M22">
        <v>21</v>
      </c>
      <c r="N22">
        <v>0</v>
      </c>
      <c r="O22">
        <v>239.3</v>
      </c>
      <c r="P22">
        <v>0</v>
      </c>
      <c r="S22" t="s">
        <v>52</v>
      </c>
      <c r="T22">
        <f t="shared" si="0"/>
        <v>22</v>
      </c>
      <c r="U22">
        <v>5945</v>
      </c>
      <c r="V22">
        <f t="shared" si="1"/>
        <v>594.5</v>
      </c>
    </row>
    <row r="23" spans="1:22" x14ac:dyDescent="0.5">
      <c r="A23" t="s">
        <v>1</v>
      </c>
      <c r="B23">
        <v>22</v>
      </c>
      <c r="C23">
        <v>1</v>
      </c>
      <c r="D23">
        <v>0</v>
      </c>
      <c r="H23" t="s">
        <v>52</v>
      </c>
      <c r="I23" t="s">
        <v>28</v>
      </c>
      <c r="J23" t="s">
        <v>29</v>
      </c>
      <c r="K23" t="s">
        <v>30</v>
      </c>
      <c r="L23" t="s">
        <v>31</v>
      </c>
      <c r="M23">
        <v>22</v>
      </c>
      <c r="N23">
        <v>0</v>
      </c>
      <c r="O23">
        <v>0</v>
      </c>
      <c r="P23">
        <v>0</v>
      </c>
      <c r="S23" t="s">
        <v>53</v>
      </c>
      <c r="T23">
        <f t="shared" si="0"/>
        <v>23</v>
      </c>
      <c r="U23">
        <v>110565</v>
      </c>
      <c r="V23">
        <f t="shared" si="1"/>
        <v>11056.5</v>
      </c>
    </row>
    <row r="24" spans="1:22" x14ac:dyDescent="0.5">
      <c r="A24" t="s">
        <v>0</v>
      </c>
      <c r="B24">
        <v>23</v>
      </c>
      <c r="C24">
        <v>0</v>
      </c>
      <c r="D24">
        <v>0</v>
      </c>
      <c r="H24" t="s">
        <v>53</v>
      </c>
      <c r="I24" t="s">
        <v>28</v>
      </c>
      <c r="J24" t="s">
        <v>29</v>
      </c>
      <c r="K24" t="s">
        <v>30</v>
      </c>
      <c r="L24" t="s">
        <v>31</v>
      </c>
      <c r="M24">
        <v>23</v>
      </c>
      <c r="N24">
        <v>236.3</v>
      </c>
      <c r="O24">
        <v>337.8</v>
      </c>
      <c r="P24">
        <v>0</v>
      </c>
      <c r="S24" t="s">
        <v>92</v>
      </c>
      <c r="T24" t="e">
        <f t="shared" si="0"/>
        <v>#N/A</v>
      </c>
      <c r="U24">
        <v>134269</v>
      </c>
      <c r="V24">
        <f t="shared" si="1"/>
        <v>13426.9</v>
      </c>
    </row>
    <row r="25" spans="1:22" x14ac:dyDescent="0.5">
      <c r="S25" t="s">
        <v>93</v>
      </c>
      <c r="T25" t="e">
        <f t="shared" si="0"/>
        <v>#N/A</v>
      </c>
      <c r="U25">
        <v>134489</v>
      </c>
      <c r="V25">
        <f t="shared" si="1"/>
        <v>13448.9</v>
      </c>
    </row>
  </sheetData>
  <sortState ref="S1:U26">
    <sortCondition ref="T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03"/>
  <sheetViews>
    <sheetView workbookViewId="0"/>
  </sheetViews>
  <sheetFormatPr defaultRowHeight="14.35" x14ac:dyDescent="0.5"/>
  <cols>
    <col min="2" max="2" width="11.87890625" style="2" customWidth="1"/>
    <col min="7" max="9" width="5.41015625" style="3" customWidth="1"/>
    <col min="15" max="15" width="11.87890625" bestFit="1" customWidth="1"/>
  </cols>
  <sheetData>
    <row r="1" spans="1:22" x14ac:dyDescent="0.5">
      <c r="A1">
        <v>1</v>
      </c>
      <c r="B1" s="2">
        <v>0</v>
      </c>
      <c r="G1" s="3" t="s">
        <v>86</v>
      </c>
      <c r="H1" s="3" t="s">
        <v>87</v>
      </c>
      <c r="I1" s="3" t="s">
        <v>88</v>
      </c>
      <c r="J1" s="3" t="s">
        <v>89</v>
      </c>
    </row>
    <row r="2" spans="1:22" x14ac:dyDescent="0.5">
      <c r="A2">
        <v>2</v>
      </c>
      <c r="B2" s="2">
        <v>51.407800000000002</v>
      </c>
      <c r="G2" s="3">
        <v>1</v>
      </c>
      <c r="H2" s="3">
        <v>1</v>
      </c>
      <c r="I2" s="3">
        <v>1</v>
      </c>
      <c r="J2" s="2">
        <v>0</v>
      </c>
      <c r="S2" t="s">
        <v>61</v>
      </c>
      <c r="T2" t="s">
        <v>63</v>
      </c>
      <c r="U2">
        <v>205.9538</v>
      </c>
      <c r="V2" t="s">
        <v>62</v>
      </c>
    </row>
    <row r="3" spans="1:22" x14ac:dyDescent="0.5">
      <c r="A3">
        <v>3</v>
      </c>
      <c r="B3" s="2">
        <v>124.9015</v>
      </c>
      <c r="G3" s="3">
        <v>2</v>
      </c>
      <c r="H3" s="3">
        <v>1</v>
      </c>
      <c r="I3" s="3">
        <v>2</v>
      </c>
      <c r="J3" s="2">
        <v>51.407800000000002</v>
      </c>
      <c r="S3" t="s">
        <v>61</v>
      </c>
      <c r="T3" t="s">
        <v>64</v>
      </c>
      <c r="U3">
        <v>8.5126410000000003</v>
      </c>
      <c r="V3" t="s">
        <v>62</v>
      </c>
    </row>
    <row r="4" spans="1:22" x14ac:dyDescent="0.5">
      <c r="A4">
        <v>4</v>
      </c>
      <c r="B4" s="2">
        <v>198.21340000000001</v>
      </c>
      <c r="G4" s="3">
        <v>3</v>
      </c>
      <c r="H4" s="3">
        <v>1</v>
      </c>
      <c r="I4" s="3">
        <v>3</v>
      </c>
      <c r="J4" s="2">
        <v>124.9015</v>
      </c>
      <c r="S4" t="s">
        <v>61</v>
      </c>
      <c r="T4" t="s">
        <v>65</v>
      </c>
      <c r="U4" s="1">
        <v>0</v>
      </c>
      <c r="V4" t="s">
        <v>62</v>
      </c>
    </row>
    <row r="5" spans="1:22" x14ac:dyDescent="0.5">
      <c r="A5">
        <v>5</v>
      </c>
      <c r="B5" s="2">
        <v>205.9538</v>
      </c>
      <c r="G5" s="3">
        <v>4</v>
      </c>
      <c r="H5" s="3">
        <v>1</v>
      </c>
      <c r="I5" s="3">
        <v>4</v>
      </c>
      <c r="J5" s="2">
        <v>198.21340000000001</v>
      </c>
      <c r="S5" t="s">
        <v>61</v>
      </c>
      <c r="T5" t="s">
        <v>66</v>
      </c>
      <c r="U5">
        <v>296.47739999999999</v>
      </c>
      <c r="V5" t="s">
        <v>62</v>
      </c>
    </row>
    <row r="6" spans="1:22" x14ac:dyDescent="0.5">
      <c r="A6">
        <v>6</v>
      </c>
      <c r="B6" s="2">
        <v>0</v>
      </c>
      <c r="G6" s="3">
        <v>5</v>
      </c>
      <c r="H6" s="3">
        <v>1</v>
      </c>
      <c r="I6" s="3">
        <v>5</v>
      </c>
      <c r="J6" s="2">
        <v>205.9538</v>
      </c>
      <c r="S6" t="s">
        <v>61</v>
      </c>
      <c r="T6" t="s">
        <v>67</v>
      </c>
      <c r="U6">
        <v>2818.93</v>
      </c>
      <c r="V6" t="s">
        <v>62</v>
      </c>
    </row>
    <row r="7" spans="1:22" x14ac:dyDescent="0.5">
      <c r="A7">
        <v>7</v>
      </c>
      <c r="B7" s="2">
        <v>0</v>
      </c>
      <c r="G7" s="3">
        <v>6</v>
      </c>
      <c r="H7" s="3">
        <v>2</v>
      </c>
      <c r="I7" s="3">
        <v>1</v>
      </c>
      <c r="J7" s="2">
        <v>0</v>
      </c>
      <c r="K7">
        <f>H7-H6</f>
        <v>1</v>
      </c>
      <c r="L7">
        <f>IF(K7=1,G7-1,"")</f>
        <v>5</v>
      </c>
      <c r="O7" t="str">
        <f xml:space="preserve"> "STRM(9," &amp; P7 &amp; ")"</f>
        <v>STRM(9,5)</v>
      </c>
      <c r="P7">
        <v>5</v>
      </c>
      <c r="S7" t="s">
        <v>61</v>
      </c>
      <c r="T7" t="s">
        <v>68</v>
      </c>
      <c r="U7">
        <v>11063.94</v>
      </c>
      <c r="V7" t="s">
        <v>62</v>
      </c>
    </row>
    <row r="8" spans="1:22" x14ac:dyDescent="0.5">
      <c r="A8">
        <v>8</v>
      </c>
      <c r="B8" s="2">
        <v>8.5126410000000003</v>
      </c>
      <c r="G8" s="3">
        <v>7</v>
      </c>
      <c r="H8" s="3">
        <v>2</v>
      </c>
      <c r="I8" s="3">
        <v>2</v>
      </c>
      <c r="J8" s="2">
        <v>0</v>
      </c>
      <c r="K8">
        <f t="shared" ref="K8:K71" si="0">H8-H7</f>
        <v>0</v>
      </c>
      <c r="L8" t="str">
        <f t="shared" ref="L8:L71" si="1">IF(K8=1,G8-1,"")</f>
        <v/>
      </c>
      <c r="O8" t="str">
        <f t="shared" ref="O8:O29" si="2" xml:space="preserve"> "STRM(9," &amp; P8 &amp; ")"</f>
        <v>STRM(9,8)</v>
      </c>
      <c r="P8">
        <v>8</v>
      </c>
      <c r="S8" t="s">
        <v>61</v>
      </c>
      <c r="T8" t="s">
        <v>69</v>
      </c>
      <c r="U8">
        <v>740.97799999999995</v>
      </c>
      <c r="V8" t="s">
        <v>62</v>
      </c>
    </row>
    <row r="9" spans="1:22" x14ac:dyDescent="0.5">
      <c r="A9">
        <v>9</v>
      </c>
      <c r="B9" s="2">
        <v>220.1353</v>
      </c>
      <c r="G9" s="3">
        <v>8</v>
      </c>
      <c r="H9" s="3">
        <v>2</v>
      </c>
      <c r="I9" s="3">
        <v>3</v>
      </c>
      <c r="J9" s="2">
        <v>8.5126410000000003</v>
      </c>
      <c r="K9">
        <f t="shared" si="0"/>
        <v>0</v>
      </c>
      <c r="L9" t="str">
        <f t="shared" si="1"/>
        <v/>
      </c>
      <c r="O9" t="str">
        <f t="shared" si="2"/>
        <v>STRM(9,26)</v>
      </c>
      <c r="P9">
        <v>26</v>
      </c>
      <c r="S9" t="s">
        <v>61</v>
      </c>
      <c r="T9" t="s">
        <v>70</v>
      </c>
      <c r="U9">
        <v>21.25685</v>
      </c>
      <c r="V9" t="s">
        <v>62</v>
      </c>
    </row>
    <row r="10" spans="1:22" x14ac:dyDescent="0.5">
      <c r="A10">
        <v>10</v>
      </c>
      <c r="B10" s="2">
        <v>293.36110000000002</v>
      </c>
      <c r="G10" s="3">
        <v>9</v>
      </c>
      <c r="H10" s="3">
        <v>3</v>
      </c>
      <c r="I10" s="3">
        <v>1</v>
      </c>
      <c r="J10" s="2">
        <v>220.1353</v>
      </c>
      <c r="K10">
        <f t="shared" si="0"/>
        <v>1</v>
      </c>
      <c r="L10">
        <f t="shared" si="1"/>
        <v>8</v>
      </c>
      <c r="O10" t="str">
        <f t="shared" si="2"/>
        <v>STRM(9,38)</v>
      </c>
      <c r="P10">
        <v>38</v>
      </c>
      <c r="S10" t="s">
        <v>61</v>
      </c>
      <c r="T10" t="s">
        <v>71</v>
      </c>
      <c r="U10">
        <v>539.34050000000002</v>
      </c>
      <c r="V10" t="s">
        <v>62</v>
      </c>
    </row>
    <row r="11" spans="1:22" x14ac:dyDescent="0.5">
      <c r="A11">
        <v>11</v>
      </c>
      <c r="B11" s="2">
        <v>298.30040000000002</v>
      </c>
      <c r="G11" s="3">
        <v>10</v>
      </c>
      <c r="H11" s="3">
        <v>3</v>
      </c>
      <c r="I11" s="3">
        <v>2</v>
      </c>
      <c r="J11" s="2">
        <v>293.36110000000002</v>
      </c>
      <c r="K11">
        <f t="shared" si="0"/>
        <v>0</v>
      </c>
      <c r="L11" t="str">
        <f t="shared" si="1"/>
        <v/>
      </c>
      <c r="O11" t="str">
        <f t="shared" si="2"/>
        <v>STRM(9,46)</v>
      </c>
      <c r="P11">
        <v>46</v>
      </c>
      <c r="S11" t="s">
        <v>61</v>
      </c>
      <c r="T11" t="s">
        <v>72</v>
      </c>
      <c r="U11">
        <v>2077.9520000000002</v>
      </c>
      <c r="V11" t="s">
        <v>62</v>
      </c>
    </row>
    <row r="12" spans="1:22" x14ac:dyDescent="0.5">
      <c r="A12">
        <v>12</v>
      </c>
      <c r="B12" s="2">
        <v>281.19420000000002</v>
      </c>
      <c r="G12" s="3">
        <v>11</v>
      </c>
      <c r="H12" s="3">
        <v>3</v>
      </c>
      <c r="I12" s="3">
        <v>3</v>
      </c>
      <c r="J12" s="2">
        <v>298.30040000000002</v>
      </c>
      <c r="K12">
        <f t="shared" si="0"/>
        <v>0</v>
      </c>
      <c r="L12" t="str">
        <f t="shared" si="1"/>
        <v/>
      </c>
      <c r="O12" t="str">
        <f t="shared" si="2"/>
        <v>STRM(9,55)</v>
      </c>
      <c r="P12">
        <v>55</v>
      </c>
      <c r="S12" t="s">
        <v>61</v>
      </c>
      <c r="T12" t="s">
        <v>73</v>
      </c>
      <c r="U12">
        <v>11812.11</v>
      </c>
      <c r="V12" t="s">
        <v>62</v>
      </c>
    </row>
    <row r="13" spans="1:22" x14ac:dyDescent="0.5">
      <c r="A13">
        <v>13</v>
      </c>
      <c r="B13" s="2">
        <v>301.27929999999998</v>
      </c>
      <c r="G13" s="3">
        <v>12</v>
      </c>
      <c r="H13" s="3">
        <v>3</v>
      </c>
      <c r="I13" s="3">
        <v>4</v>
      </c>
      <c r="J13" s="2">
        <v>281.19420000000002</v>
      </c>
      <c r="K13">
        <f t="shared" si="0"/>
        <v>0</v>
      </c>
      <c r="L13" t="str">
        <f t="shared" si="1"/>
        <v/>
      </c>
      <c r="O13" t="str">
        <f t="shared" si="2"/>
        <v>STRM(9,59)</v>
      </c>
      <c r="P13">
        <v>59</v>
      </c>
      <c r="S13" t="s">
        <v>61</v>
      </c>
      <c r="T13" t="s">
        <v>74</v>
      </c>
      <c r="U13">
        <v>52.344819999999999</v>
      </c>
      <c r="V13" t="s">
        <v>62</v>
      </c>
    </row>
    <row r="14" spans="1:22" x14ac:dyDescent="0.5">
      <c r="A14">
        <v>14</v>
      </c>
      <c r="B14" s="2">
        <v>0</v>
      </c>
      <c r="G14" s="3">
        <v>13</v>
      </c>
      <c r="H14" s="3">
        <v>3</v>
      </c>
      <c r="I14" s="3">
        <v>5</v>
      </c>
      <c r="J14" s="2">
        <v>301.27929999999998</v>
      </c>
      <c r="K14">
        <f t="shared" si="0"/>
        <v>0</v>
      </c>
      <c r="L14" t="str">
        <f t="shared" si="1"/>
        <v/>
      </c>
      <c r="O14" t="str">
        <f t="shared" si="2"/>
        <v>STRM(9,78)</v>
      </c>
      <c r="P14">
        <v>78</v>
      </c>
      <c r="S14" t="s">
        <v>61</v>
      </c>
      <c r="T14" t="s">
        <v>75</v>
      </c>
      <c r="U14">
        <v>11669.77</v>
      </c>
      <c r="V14" t="s">
        <v>62</v>
      </c>
    </row>
    <row r="15" spans="1:22" x14ac:dyDescent="0.5">
      <c r="A15">
        <v>15</v>
      </c>
      <c r="B15" s="2">
        <v>0</v>
      </c>
      <c r="G15" s="3">
        <v>14</v>
      </c>
      <c r="H15" s="3">
        <v>3</v>
      </c>
      <c r="I15" s="3">
        <v>6</v>
      </c>
      <c r="J15" s="2">
        <v>0</v>
      </c>
      <c r="K15">
        <f t="shared" si="0"/>
        <v>0</v>
      </c>
      <c r="L15" t="str">
        <f t="shared" si="1"/>
        <v/>
      </c>
      <c r="O15" t="str">
        <f t="shared" si="2"/>
        <v>STRM(9,87)</v>
      </c>
      <c r="P15">
        <v>87</v>
      </c>
      <c r="S15" t="s">
        <v>61</v>
      </c>
      <c r="T15" t="s">
        <v>76</v>
      </c>
      <c r="U15">
        <v>187.83539999999999</v>
      </c>
      <c r="V15" t="s">
        <v>62</v>
      </c>
    </row>
    <row r="16" spans="1:22" x14ac:dyDescent="0.5">
      <c r="A16">
        <v>16</v>
      </c>
      <c r="B16" s="2">
        <v>0</v>
      </c>
      <c r="G16" s="3">
        <v>15</v>
      </c>
      <c r="H16" s="3">
        <v>3</v>
      </c>
      <c r="I16" s="3">
        <v>7</v>
      </c>
      <c r="J16" s="2">
        <v>0</v>
      </c>
      <c r="K16">
        <f t="shared" si="0"/>
        <v>0</v>
      </c>
      <c r="L16" t="str">
        <f t="shared" si="1"/>
        <v/>
      </c>
      <c r="O16" t="str">
        <f t="shared" si="2"/>
        <v>STRM(9,111)</v>
      </c>
      <c r="P16">
        <v>111</v>
      </c>
      <c r="S16" t="s">
        <v>61</v>
      </c>
      <c r="T16" t="s">
        <v>77</v>
      </c>
      <c r="U16">
        <v>236.30860000000001</v>
      </c>
      <c r="V16" t="s">
        <v>62</v>
      </c>
    </row>
    <row r="17" spans="1:22" x14ac:dyDescent="0.5">
      <c r="A17">
        <v>17</v>
      </c>
      <c r="B17" s="2">
        <v>0</v>
      </c>
      <c r="G17" s="3">
        <v>16</v>
      </c>
      <c r="H17" s="3">
        <v>3</v>
      </c>
      <c r="I17" s="3">
        <v>8</v>
      </c>
      <c r="J17" s="2">
        <v>0</v>
      </c>
      <c r="K17">
        <f t="shared" si="0"/>
        <v>0</v>
      </c>
      <c r="L17" t="str">
        <f t="shared" si="1"/>
        <v/>
      </c>
      <c r="O17" t="str">
        <f t="shared" si="2"/>
        <v>STRM(9,119)</v>
      </c>
      <c r="P17">
        <v>119</v>
      </c>
      <c r="S17" t="s">
        <v>61</v>
      </c>
      <c r="T17" t="s">
        <v>78</v>
      </c>
      <c r="U17">
        <v>674.62549999999999</v>
      </c>
      <c r="V17" t="s">
        <v>62</v>
      </c>
    </row>
    <row r="18" spans="1:22" x14ac:dyDescent="0.5">
      <c r="A18">
        <v>18</v>
      </c>
      <c r="B18" s="2">
        <v>0</v>
      </c>
      <c r="G18" s="3">
        <v>17</v>
      </c>
      <c r="H18" s="3">
        <v>3</v>
      </c>
      <c r="I18" s="3">
        <v>9</v>
      </c>
      <c r="J18" s="2">
        <v>0</v>
      </c>
      <c r="K18">
        <f t="shared" si="0"/>
        <v>0</v>
      </c>
      <c r="L18" t="str">
        <f t="shared" si="1"/>
        <v/>
      </c>
      <c r="O18" t="str">
        <f t="shared" si="2"/>
        <v>STRM(9,144)</v>
      </c>
      <c r="P18">
        <v>144</v>
      </c>
      <c r="S18" t="s">
        <v>61</v>
      </c>
      <c r="T18" t="s">
        <v>79</v>
      </c>
      <c r="U18" s="1">
        <v>0</v>
      </c>
      <c r="V18" t="s">
        <v>62</v>
      </c>
    </row>
    <row r="19" spans="1:22" x14ac:dyDescent="0.5">
      <c r="A19">
        <v>19</v>
      </c>
      <c r="B19" s="2">
        <v>92.809269999999998</v>
      </c>
      <c r="G19" s="3">
        <v>18</v>
      </c>
      <c r="H19" s="3">
        <v>3</v>
      </c>
      <c r="I19" s="3">
        <v>10</v>
      </c>
      <c r="J19" s="2">
        <v>0</v>
      </c>
      <c r="K19">
        <f t="shared" si="0"/>
        <v>0</v>
      </c>
      <c r="L19" t="str">
        <f t="shared" si="1"/>
        <v/>
      </c>
      <c r="O19" t="str">
        <f t="shared" si="2"/>
        <v>STRM(9,148)</v>
      </c>
      <c r="P19">
        <v>148</v>
      </c>
      <c r="S19" t="s">
        <v>61</v>
      </c>
      <c r="T19" t="s">
        <v>80</v>
      </c>
      <c r="U19">
        <v>10176.290000000001</v>
      </c>
      <c r="V19" t="s">
        <v>62</v>
      </c>
    </row>
    <row r="20" spans="1:22" x14ac:dyDescent="0.5">
      <c r="A20">
        <v>20</v>
      </c>
      <c r="B20" s="2">
        <v>0</v>
      </c>
      <c r="G20" s="3">
        <v>19</v>
      </c>
      <c r="H20" s="3">
        <v>3</v>
      </c>
      <c r="I20" s="3">
        <v>11</v>
      </c>
      <c r="J20" s="2">
        <v>92.809269999999998</v>
      </c>
      <c r="K20">
        <f t="shared" si="0"/>
        <v>0</v>
      </c>
      <c r="L20" t="str">
        <f t="shared" si="1"/>
        <v/>
      </c>
      <c r="O20" t="str">
        <f t="shared" si="2"/>
        <v>STRM(9,157)</v>
      </c>
      <c r="P20">
        <v>157</v>
      </c>
      <c r="S20" t="s">
        <v>61</v>
      </c>
      <c r="T20" t="s">
        <v>81</v>
      </c>
      <c r="U20">
        <v>77.855689999999996</v>
      </c>
      <c r="V20" t="s">
        <v>62</v>
      </c>
    </row>
    <row r="21" spans="1:22" x14ac:dyDescent="0.5">
      <c r="A21">
        <v>21</v>
      </c>
      <c r="B21" s="2">
        <v>49.121470000000002</v>
      </c>
      <c r="G21" s="3">
        <v>20</v>
      </c>
      <c r="H21" s="3">
        <v>3</v>
      </c>
      <c r="I21" s="3">
        <v>12</v>
      </c>
      <c r="J21" s="2">
        <v>0</v>
      </c>
      <c r="K21">
        <f t="shared" si="0"/>
        <v>0</v>
      </c>
      <c r="L21" t="str">
        <f t="shared" si="1"/>
        <v/>
      </c>
      <c r="O21" t="str">
        <f t="shared" si="2"/>
        <v>STRM(9,158)</v>
      </c>
      <c r="P21">
        <v>158</v>
      </c>
      <c r="S21" t="s">
        <v>61</v>
      </c>
      <c r="T21" t="s">
        <v>82</v>
      </c>
      <c r="U21">
        <v>11376.44</v>
      </c>
      <c r="V21" t="s">
        <v>62</v>
      </c>
    </row>
    <row r="22" spans="1:22" x14ac:dyDescent="0.5">
      <c r="A22">
        <v>22</v>
      </c>
      <c r="B22" s="2">
        <v>168.70480000000001</v>
      </c>
      <c r="G22" s="3">
        <v>21</v>
      </c>
      <c r="H22" s="3">
        <v>3</v>
      </c>
      <c r="I22" s="3">
        <v>13</v>
      </c>
      <c r="J22" s="2">
        <v>49.121470000000002</v>
      </c>
      <c r="K22">
        <f t="shared" si="0"/>
        <v>0</v>
      </c>
      <c r="L22" t="str">
        <f t="shared" si="1"/>
        <v/>
      </c>
      <c r="O22" t="str">
        <f t="shared" si="2"/>
        <v>STRM(9,160)</v>
      </c>
      <c r="P22">
        <v>160</v>
      </c>
      <c r="S22" t="s">
        <v>61</v>
      </c>
      <c r="T22" t="s">
        <v>83</v>
      </c>
      <c r="U22">
        <v>239.27090000000001</v>
      </c>
      <c r="V22" t="s">
        <v>62</v>
      </c>
    </row>
    <row r="23" spans="1:22" x14ac:dyDescent="0.5">
      <c r="A23">
        <v>23</v>
      </c>
      <c r="B23" s="2">
        <v>141.2013</v>
      </c>
      <c r="G23" s="3">
        <v>22</v>
      </c>
      <c r="H23" s="3">
        <v>3</v>
      </c>
      <c r="I23" s="3">
        <v>14</v>
      </c>
      <c r="J23" s="2">
        <v>168.70480000000001</v>
      </c>
      <c r="K23">
        <f t="shared" si="0"/>
        <v>0</v>
      </c>
      <c r="L23" t="str">
        <f t="shared" si="1"/>
        <v/>
      </c>
      <c r="O23" t="str">
        <f t="shared" si="2"/>
        <v>STRM(9,174)</v>
      </c>
      <c r="P23">
        <v>174</v>
      </c>
      <c r="S23" t="s">
        <v>61</v>
      </c>
      <c r="T23" t="s">
        <v>84</v>
      </c>
      <c r="U23" s="1">
        <v>0</v>
      </c>
      <c r="V23" t="s">
        <v>62</v>
      </c>
    </row>
    <row r="24" spans="1:22" x14ac:dyDescent="0.5">
      <c r="A24">
        <v>24</v>
      </c>
      <c r="B24" s="2">
        <v>98.079509999999999</v>
      </c>
      <c r="G24" s="3">
        <v>23</v>
      </c>
      <c r="H24" s="3">
        <v>3</v>
      </c>
      <c r="I24" s="3">
        <v>15</v>
      </c>
      <c r="J24" s="2">
        <v>141.2013</v>
      </c>
      <c r="K24">
        <f t="shared" si="0"/>
        <v>0</v>
      </c>
      <c r="L24" t="str">
        <f t="shared" si="1"/>
        <v/>
      </c>
      <c r="O24" t="str">
        <f t="shared" si="2"/>
        <v>STRM(9,177)</v>
      </c>
      <c r="P24">
        <v>177</v>
      </c>
      <c r="S24" t="s">
        <v>61</v>
      </c>
      <c r="T24" t="s">
        <v>85</v>
      </c>
      <c r="U24">
        <v>574.13459999999998</v>
      </c>
      <c r="V24" t="s">
        <v>62</v>
      </c>
    </row>
    <row r="25" spans="1:22" x14ac:dyDescent="0.5">
      <c r="A25">
        <v>25</v>
      </c>
      <c r="B25" s="2">
        <v>0</v>
      </c>
      <c r="G25" s="3">
        <v>24</v>
      </c>
      <c r="H25" s="3">
        <v>3</v>
      </c>
      <c r="I25" s="3">
        <v>16</v>
      </c>
      <c r="J25" s="2">
        <v>98.079509999999999</v>
      </c>
      <c r="K25">
        <f t="shared" si="0"/>
        <v>0</v>
      </c>
      <c r="L25" t="str">
        <f t="shared" si="1"/>
        <v/>
      </c>
      <c r="O25" t="str">
        <f t="shared" si="2"/>
        <v>STRM(9,179)</v>
      </c>
      <c r="P25">
        <v>179</v>
      </c>
    </row>
    <row r="26" spans="1:22" x14ac:dyDescent="0.5">
      <c r="A26">
        <v>26</v>
      </c>
      <c r="B26" s="2">
        <v>0</v>
      </c>
      <c r="G26" s="3">
        <v>25</v>
      </c>
      <c r="H26" s="3">
        <v>3</v>
      </c>
      <c r="I26" s="3">
        <v>17</v>
      </c>
      <c r="J26" s="2">
        <v>0</v>
      </c>
      <c r="K26">
        <f t="shared" si="0"/>
        <v>0</v>
      </c>
      <c r="L26" t="str">
        <f t="shared" si="1"/>
        <v/>
      </c>
      <c r="O26" t="str">
        <f t="shared" si="2"/>
        <v>STRM(9,185)</v>
      </c>
      <c r="P26">
        <v>185</v>
      </c>
    </row>
    <row r="27" spans="1:22" x14ac:dyDescent="0.5">
      <c r="A27">
        <v>27</v>
      </c>
      <c r="B27" s="2">
        <v>110.91549999999999</v>
      </c>
      <c r="G27" s="3">
        <v>26</v>
      </c>
      <c r="H27" s="3">
        <v>3</v>
      </c>
      <c r="I27" s="3">
        <v>18</v>
      </c>
      <c r="J27" s="2">
        <v>0</v>
      </c>
      <c r="K27">
        <f t="shared" si="0"/>
        <v>0</v>
      </c>
      <c r="L27" t="str">
        <f t="shared" si="1"/>
        <v/>
      </c>
      <c r="O27" t="str">
        <f t="shared" si="2"/>
        <v>STRM(9,190)</v>
      </c>
      <c r="P27">
        <v>190</v>
      </c>
    </row>
    <row r="28" spans="1:22" x14ac:dyDescent="0.5">
      <c r="A28">
        <v>28</v>
      </c>
      <c r="B28" s="2">
        <v>200.3586</v>
      </c>
      <c r="G28" s="3">
        <v>27</v>
      </c>
      <c r="H28" s="3">
        <v>4</v>
      </c>
      <c r="I28" s="3">
        <v>1</v>
      </c>
      <c r="J28" s="2">
        <v>110.91549999999999</v>
      </c>
      <c r="K28">
        <f t="shared" si="0"/>
        <v>1</v>
      </c>
      <c r="L28">
        <f t="shared" si="1"/>
        <v>26</v>
      </c>
      <c r="O28" t="str">
        <f t="shared" si="2"/>
        <v>STRM(9,196)</v>
      </c>
      <c r="P28">
        <v>196</v>
      </c>
    </row>
    <row r="29" spans="1:22" x14ac:dyDescent="0.5">
      <c r="A29">
        <v>29</v>
      </c>
      <c r="B29" s="2">
        <v>278.38659999999999</v>
      </c>
      <c r="G29" s="3">
        <v>28</v>
      </c>
      <c r="H29" s="3">
        <v>4</v>
      </c>
      <c r="I29" s="3">
        <v>2</v>
      </c>
      <c r="J29" s="2">
        <v>200.3586</v>
      </c>
      <c r="K29">
        <f t="shared" si="0"/>
        <v>0</v>
      </c>
      <c r="L29" t="str">
        <f t="shared" si="1"/>
        <v/>
      </c>
      <c r="O29" t="str">
        <f t="shared" si="2"/>
        <v>STRM(9,201)</v>
      </c>
      <c r="P29">
        <v>201</v>
      </c>
    </row>
    <row r="30" spans="1:22" x14ac:dyDescent="0.5">
      <c r="A30">
        <v>30</v>
      </c>
      <c r="B30" s="2">
        <v>350.70089999999999</v>
      </c>
      <c r="G30" s="3">
        <v>29</v>
      </c>
      <c r="H30" s="3">
        <v>4</v>
      </c>
      <c r="I30" s="3">
        <v>3</v>
      </c>
      <c r="J30" s="2">
        <v>278.38659999999999</v>
      </c>
      <c r="K30">
        <f t="shared" si="0"/>
        <v>0</v>
      </c>
      <c r="L30" t="str">
        <f t="shared" si="1"/>
        <v/>
      </c>
    </row>
    <row r="31" spans="1:22" x14ac:dyDescent="0.5">
      <c r="A31">
        <v>31</v>
      </c>
      <c r="B31" s="2">
        <v>416.81790000000001</v>
      </c>
      <c r="G31" s="3">
        <v>30</v>
      </c>
      <c r="H31" s="3">
        <v>4</v>
      </c>
      <c r="I31" s="3">
        <v>4</v>
      </c>
      <c r="J31" s="2">
        <v>350.70089999999999</v>
      </c>
      <c r="K31">
        <f t="shared" si="0"/>
        <v>0</v>
      </c>
      <c r="L31" t="str">
        <f t="shared" si="1"/>
        <v/>
      </c>
    </row>
    <row r="32" spans="1:22" x14ac:dyDescent="0.5">
      <c r="A32">
        <v>32</v>
      </c>
      <c r="B32" s="2">
        <v>469.86259999999999</v>
      </c>
      <c r="G32" s="3">
        <v>31</v>
      </c>
      <c r="H32" s="3">
        <v>4</v>
      </c>
      <c r="I32" s="3">
        <v>5</v>
      </c>
      <c r="J32" s="2">
        <v>416.81790000000001</v>
      </c>
      <c r="K32">
        <f t="shared" si="0"/>
        <v>0</v>
      </c>
      <c r="L32" t="str">
        <f t="shared" si="1"/>
        <v/>
      </c>
    </row>
    <row r="33" spans="1:12" x14ac:dyDescent="0.5">
      <c r="A33">
        <v>33</v>
      </c>
      <c r="B33" s="2">
        <v>545.43979999999999</v>
      </c>
      <c r="G33" s="3">
        <v>32</v>
      </c>
      <c r="H33" s="3">
        <v>4</v>
      </c>
      <c r="I33" s="3">
        <v>6</v>
      </c>
      <c r="J33" s="2">
        <v>469.86259999999999</v>
      </c>
      <c r="K33">
        <f t="shared" si="0"/>
        <v>0</v>
      </c>
      <c r="L33" t="str">
        <f t="shared" si="1"/>
        <v/>
      </c>
    </row>
    <row r="34" spans="1:12" x14ac:dyDescent="0.5">
      <c r="A34">
        <v>34</v>
      </c>
      <c r="B34" s="2">
        <v>529.42970000000003</v>
      </c>
      <c r="G34" s="3">
        <v>33</v>
      </c>
      <c r="H34" s="3">
        <v>4</v>
      </c>
      <c r="I34" s="3">
        <v>7</v>
      </c>
      <c r="J34" s="2">
        <v>545.43979999999999</v>
      </c>
      <c r="K34">
        <f t="shared" si="0"/>
        <v>0</v>
      </c>
      <c r="L34" t="str">
        <f t="shared" si="1"/>
        <v/>
      </c>
    </row>
    <row r="35" spans="1:12" x14ac:dyDescent="0.5">
      <c r="A35">
        <v>35</v>
      </c>
      <c r="B35" s="2">
        <v>518.72299999999996</v>
      </c>
      <c r="G35" s="3">
        <v>34</v>
      </c>
      <c r="H35" s="3">
        <v>4</v>
      </c>
      <c r="I35" s="3">
        <v>8</v>
      </c>
      <c r="J35" s="2">
        <v>529.42970000000003</v>
      </c>
      <c r="K35">
        <f t="shared" si="0"/>
        <v>0</v>
      </c>
      <c r="L35" t="str">
        <f t="shared" si="1"/>
        <v/>
      </c>
    </row>
    <row r="36" spans="1:12" x14ac:dyDescent="0.5">
      <c r="A36">
        <v>36</v>
      </c>
      <c r="B36" s="2">
        <v>385.03969999999998</v>
      </c>
      <c r="G36" s="3">
        <v>35</v>
      </c>
      <c r="H36" s="3">
        <v>4</v>
      </c>
      <c r="I36" s="3">
        <v>9</v>
      </c>
      <c r="J36" s="2">
        <v>518.72299999999996</v>
      </c>
      <c r="K36">
        <f t="shared" si="0"/>
        <v>0</v>
      </c>
      <c r="L36" t="str">
        <f t="shared" si="1"/>
        <v/>
      </c>
    </row>
    <row r="37" spans="1:12" x14ac:dyDescent="0.5">
      <c r="A37">
        <v>37</v>
      </c>
      <c r="B37" s="2">
        <v>200.50659999999999</v>
      </c>
      <c r="G37" s="3">
        <v>36</v>
      </c>
      <c r="H37" s="3">
        <v>4</v>
      </c>
      <c r="I37" s="3">
        <v>10</v>
      </c>
      <c r="J37" s="2">
        <v>385.03969999999998</v>
      </c>
      <c r="K37">
        <f t="shared" si="0"/>
        <v>0</v>
      </c>
      <c r="L37" t="str">
        <f t="shared" si="1"/>
        <v/>
      </c>
    </row>
    <row r="38" spans="1:12" x14ac:dyDescent="0.5">
      <c r="A38">
        <v>38</v>
      </c>
      <c r="B38" s="2">
        <v>296.47739999999999</v>
      </c>
      <c r="G38" s="3">
        <v>37</v>
      </c>
      <c r="H38" s="3">
        <v>4</v>
      </c>
      <c r="I38" s="3">
        <v>11</v>
      </c>
      <c r="J38" s="2">
        <v>200.50659999999999</v>
      </c>
      <c r="K38">
        <f t="shared" si="0"/>
        <v>0</v>
      </c>
      <c r="L38" t="str">
        <f t="shared" si="1"/>
        <v/>
      </c>
    </row>
    <row r="39" spans="1:12" x14ac:dyDescent="0.5">
      <c r="A39">
        <v>39</v>
      </c>
      <c r="B39" s="2">
        <v>2818.93</v>
      </c>
      <c r="G39" s="3">
        <v>38</v>
      </c>
      <c r="H39" s="3">
        <v>4</v>
      </c>
      <c r="I39" s="3">
        <v>12</v>
      </c>
      <c r="J39" s="2">
        <v>296.47739999999999</v>
      </c>
      <c r="K39">
        <f t="shared" si="0"/>
        <v>0</v>
      </c>
      <c r="L39" t="str">
        <f t="shared" si="1"/>
        <v/>
      </c>
    </row>
    <row r="40" spans="1:12" x14ac:dyDescent="0.5">
      <c r="A40">
        <v>40</v>
      </c>
      <c r="B40" s="2">
        <v>2818.93</v>
      </c>
      <c r="G40" s="3">
        <v>39</v>
      </c>
      <c r="H40" s="3">
        <v>5</v>
      </c>
      <c r="I40" s="3">
        <v>1</v>
      </c>
      <c r="J40" s="2">
        <v>2818.93</v>
      </c>
      <c r="K40">
        <f t="shared" si="0"/>
        <v>1</v>
      </c>
      <c r="L40">
        <f t="shared" si="1"/>
        <v>38</v>
      </c>
    </row>
    <row r="41" spans="1:12" x14ac:dyDescent="0.5">
      <c r="A41">
        <v>41</v>
      </c>
      <c r="B41" s="2">
        <v>2818.93</v>
      </c>
      <c r="G41" s="3">
        <v>40</v>
      </c>
      <c r="H41" s="3">
        <v>5</v>
      </c>
      <c r="I41" s="3">
        <v>2</v>
      </c>
      <c r="J41" s="2">
        <v>2818.93</v>
      </c>
      <c r="K41">
        <f t="shared" si="0"/>
        <v>0</v>
      </c>
      <c r="L41" t="str">
        <f t="shared" si="1"/>
        <v/>
      </c>
    </row>
    <row r="42" spans="1:12" x14ac:dyDescent="0.5">
      <c r="A42">
        <v>42</v>
      </c>
      <c r="B42" s="2">
        <v>2818.93</v>
      </c>
      <c r="G42" s="3">
        <v>41</v>
      </c>
      <c r="H42" s="3">
        <v>5</v>
      </c>
      <c r="I42" s="3">
        <v>3</v>
      </c>
      <c r="J42" s="2">
        <v>2818.93</v>
      </c>
      <c r="K42">
        <f t="shared" si="0"/>
        <v>0</v>
      </c>
      <c r="L42" t="str">
        <f t="shared" si="1"/>
        <v/>
      </c>
    </row>
    <row r="43" spans="1:12" x14ac:dyDescent="0.5">
      <c r="A43">
        <v>43</v>
      </c>
      <c r="B43" s="2">
        <v>2818.93</v>
      </c>
      <c r="G43" s="3">
        <v>42</v>
      </c>
      <c r="H43" s="3">
        <v>5</v>
      </c>
      <c r="I43" s="3">
        <v>4</v>
      </c>
      <c r="J43" s="2">
        <v>2818.93</v>
      </c>
      <c r="K43">
        <f t="shared" si="0"/>
        <v>0</v>
      </c>
      <c r="L43" t="str">
        <f t="shared" si="1"/>
        <v/>
      </c>
    </row>
    <row r="44" spans="1:12" x14ac:dyDescent="0.5">
      <c r="A44">
        <v>44</v>
      </c>
      <c r="B44" s="2">
        <v>2818.93</v>
      </c>
      <c r="G44" s="3">
        <v>43</v>
      </c>
      <c r="H44" s="3">
        <v>5</v>
      </c>
      <c r="I44" s="3">
        <v>5</v>
      </c>
      <c r="J44" s="2">
        <v>2818.93</v>
      </c>
      <c r="K44">
        <f t="shared" si="0"/>
        <v>0</v>
      </c>
      <c r="L44" t="str">
        <f t="shared" si="1"/>
        <v/>
      </c>
    </row>
    <row r="45" spans="1:12" x14ac:dyDescent="0.5">
      <c r="A45">
        <v>45</v>
      </c>
      <c r="B45" s="2">
        <v>2818.93</v>
      </c>
      <c r="G45" s="3">
        <v>44</v>
      </c>
      <c r="H45" s="3">
        <v>5</v>
      </c>
      <c r="I45" s="3">
        <v>6</v>
      </c>
      <c r="J45" s="2">
        <v>2818.93</v>
      </c>
      <c r="K45">
        <f t="shared" si="0"/>
        <v>0</v>
      </c>
      <c r="L45" t="str">
        <f t="shared" si="1"/>
        <v/>
      </c>
    </row>
    <row r="46" spans="1:12" x14ac:dyDescent="0.5">
      <c r="A46">
        <v>46</v>
      </c>
      <c r="B46" s="2">
        <v>2818.93</v>
      </c>
      <c r="G46" s="3">
        <v>45</v>
      </c>
      <c r="H46" s="3">
        <v>5</v>
      </c>
      <c r="I46" s="3">
        <v>7</v>
      </c>
      <c r="J46" s="2">
        <v>2818.93</v>
      </c>
      <c r="K46">
        <f t="shared" si="0"/>
        <v>0</v>
      </c>
      <c r="L46" t="str">
        <f t="shared" si="1"/>
        <v/>
      </c>
    </row>
    <row r="47" spans="1:12" x14ac:dyDescent="0.5">
      <c r="A47">
        <v>47</v>
      </c>
      <c r="B47" s="2">
        <v>10187.950000000001</v>
      </c>
      <c r="G47" s="3">
        <v>46</v>
      </c>
      <c r="H47" s="3">
        <v>5</v>
      </c>
      <c r="I47" s="3">
        <v>8</v>
      </c>
      <c r="J47" s="2">
        <v>2818.93</v>
      </c>
      <c r="K47">
        <f t="shared" si="0"/>
        <v>0</v>
      </c>
      <c r="L47" t="str">
        <f t="shared" si="1"/>
        <v/>
      </c>
    </row>
    <row r="48" spans="1:12" x14ac:dyDescent="0.5">
      <c r="A48">
        <v>48</v>
      </c>
      <c r="B48" s="2">
        <v>10299.41</v>
      </c>
      <c r="G48" s="3">
        <v>47</v>
      </c>
      <c r="H48" s="3">
        <v>6</v>
      </c>
      <c r="I48" s="3">
        <v>1</v>
      </c>
      <c r="J48" s="2">
        <v>10187.950000000001</v>
      </c>
      <c r="K48">
        <f t="shared" si="0"/>
        <v>1</v>
      </c>
      <c r="L48">
        <f t="shared" si="1"/>
        <v>46</v>
      </c>
    </row>
    <row r="49" spans="1:12" x14ac:dyDescent="0.5">
      <c r="A49">
        <v>49</v>
      </c>
      <c r="B49" s="2">
        <v>10531.88</v>
      </c>
      <c r="G49" s="3">
        <v>48</v>
      </c>
      <c r="H49" s="3">
        <v>6</v>
      </c>
      <c r="I49" s="3">
        <v>2</v>
      </c>
      <c r="J49" s="2">
        <v>10299.41</v>
      </c>
      <c r="K49">
        <f t="shared" si="0"/>
        <v>0</v>
      </c>
      <c r="L49" t="str">
        <f t="shared" si="1"/>
        <v/>
      </c>
    </row>
    <row r="50" spans="1:12" x14ac:dyDescent="0.5">
      <c r="A50">
        <v>50</v>
      </c>
      <c r="B50" s="2">
        <v>10677.67</v>
      </c>
      <c r="G50" s="3">
        <v>49</v>
      </c>
      <c r="H50" s="3">
        <v>6</v>
      </c>
      <c r="I50" s="3">
        <v>3</v>
      </c>
      <c r="J50" s="2">
        <v>10531.88</v>
      </c>
      <c r="K50">
        <f t="shared" si="0"/>
        <v>0</v>
      </c>
      <c r="L50" t="str">
        <f t="shared" si="1"/>
        <v/>
      </c>
    </row>
    <row r="51" spans="1:12" x14ac:dyDescent="0.5">
      <c r="A51">
        <v>51</v>
      </c>
      <c r="B51" s="2">
        <v>10628.36</v>
      </c>
      <c r="G51" s="3">
        <v>50</v>
      </c>
      <c r="H51" s="3">
        <v>6</v>
      </c>
      <c r="I51" s="3">
        <v>4</v>
      </c>
      <c r="J51" s="2">
        <v>10677.67</v>
      </c>
      <c r="K51">
        <f t="shared" si="0"/>
        <v>0</v>
      </c>
      <c r="L51" t="str">
        <f t="shared" si="1"/>
        <v/>
      </c>
    </row>
    <row r="52" spans="1:12" x14ac:dyDescent="0.5">
      <c r="A52">
        <v>52</v>
      </c>
      <c r="B52" s="2">
        <v>10713.69</v>
      </c>
      <c r="G52" s="3">
        <v>51</v>
      </c>
      <c r="H52" s="3">
        <v>6</v>
      </c>
      <c r="I52" s="3">
        <v>5</v>
      </c>
      <c r="J52" s="2">
        <v>10628.36</v>
      </c>
      <c r="K52">
        <f t="shared" si="0"/>
        <v>0</v>
      </c>
      <c r="L52" t="str">
        <f t="shared" si="1"/>
        <v/>
      </c>
    </row>
    <row r="53" spans="1:12" x14ac:dyDescent="0.5">
      <c r="A53">
        <v>53</v>
      </c>
      <c r="B53" s="2">
        <v>10952.86</v>
      </c>
      <c r="G53" s="3">
        <v>52</v>
      </c>
      <c r="H53" s="3">
        <v>6</v>
      </c>
      <c r="I53" s="3">
        <v>6</v>
      </c>
      <c r="J53" s="2">
        <v>10713.69</v>
      </c>
      <c r="K53">
        <f t="shared" si="0"/>
        <v>0</v>
      </c>
      <c r="L53" t="str">
        <f t="shared" si="1"/>
        <v/>
      </c>
    </row>
    <row r="54" spans="1:12" x14ac:dyDescent="0.5">
      <c r="A54">
        <v>54</v>
      </c>
      <c r="B54" s="2">
        <v>10978.56</v>
      </c>
      <c r="G54" s="3">
        <v>53</v>
      </c>
      <c r="H54" s="3">
        <v>6</v>
      </c>
      <c r="I54" s="3">
        <v>7</v>
      </c>
      <c r="J54" s="2">
        <v>10952.86</v>
      </c>
      <c r="K54">
        <f t="shared" si="0"/>
        <v>0</v>
      </c>
      <c r="L54" t="str">
        <f t="shared" si="1"/>
        <v/>
      </c>
    </row>
    <row r="55" spans="1:12" x14ac:dyDescent="0.5">
      <c r="A55">
        <v>55</v>
      </c>
      <c r="B55" s="2">
        <v>11063.94</v>
      </c>
      <c r="G55" s="3">
        <v>54</v>
      </c>
      <c r="H55" s="3">
        <v>6</v>
      </c>
      <c r="I55" s="3">
        <v>8</v>
      </c>
      <c r="J55" s="2">
        <v>10978.56</v>
      </c>
      <c r="K55">
        <f t="shared" si="0"/>
        <v>0</v>
      </c>
      <c r="L55" t="str">
        <f t="shared" si="1"/>
        <v/>
      </c>
    </row>
    <row r="56" spans="1:12" x14ac:dyDescent="0.5">
      <c r="A56">
        <v>56</v>
      </c>
      <c r="B56" s="2">
        <v>638.73140000000001</v>
      </c>
      <c r="G56" s="3">
        <v>55</v>
      </c>
      <c r="H56" s="3">
        <v>6</v>
      </c>
      <c r="I56" s="3">
        <v>9</v>
      </c>
      <c r="J56" s="2">
        <v>11063.94</v>
      </c>
      <c r="K56">
        <f t="shared" si="0"/>
        <v>0</v>
      </c>
      <c r="L56" t="str">
        <f t="shared" si="1"/>
        <v/>
      </c>
    </row>
    <row r="57" spans="1:12" x14ac:dyDescent="0.5">
      <c r="A57">
        <v>57</v>
      </c>
      <c r="B57" s="2">
        <v>733.19820000000004</v>
      </c>
      <c r="G57" s="3">
        <v>56</v>
      </c>
      <c r="H57" s="3">
        <v>7</v>
      </c>
      <c r="I57" s="3">
        <v>1</v>
      </c>
      <c r="J57" s="2">
        <v>638.73140000000001</v>
      </c>
      <c r="K57">
        <f t="shared" si="0"/>
        <v>1</v>
      </c>
      <c r="L57">
        <f t="shared" si="1"/>
        <v>55</v>
      </c>
    </row>
    <row r="58" spans="1:12" x14ac:dyDescent="0.5">
      <c r="A58">
        <v>58</v>
      </c>
      <c r="B58" s="2">
        <v>687.11099999999999</v>
      </c>
      <c r="G58" s="3">
        <v>57</v>
      </c>
      <c r="H58" s="3">
        <v>7</v>
      </c>
      <c r="I58" s="3">
        <v>2</v>
      </c>
      <c r="J58" s="2">
        <v>733.19820000000004</v>
      </c>
      <c r="K58">
        <f t="shared" si="0"/>
        <v>0</v>
      </c>
      <c r="L58" t="str">
        <f t="shared" si="1"/>
        <v/>
      </c>
    </row>
    <row r="59" spans="1:12" x14ac:dyDescent="0.5">
      <c r="A59">
        <v>59</v>
      </c>
      <c r="B59" s="2">
        <v>740.97799999999995</v>
      </c>
      <c r="G59" s="3">
        <v>58</v>
      </c>
      <c r="H59" s="3">
        <v>7</v>
      </c>
      <c r="I59" s="3">
        <v>3</v>
      </c>
      <c r="J59" s="2">
        <v>687.11099999999999</v>
      </c>
      <c r="K59">
        <f t="shared" si="0"/>
        <v>0</v>
      </c>
      <c r="L59" t="str">
        <f t="shared" si="1"/>
        <v/>
      </c>
    </row>
    <row r="60" spans="1:12" x14ac:dyDescent="0.5">
      <c r="A60">
        <v>60</v>
      </c>
      <c r="B60" s="2">
        <v>172.42859999999999</v>
      </c>
      <c r="G60" s="3">
        <v>59</v>
      </c>
      <c r="H60" s="3">
        <v>7</v>
      </c>
      <c r="I60" s="3">
        <v>4</v>
      </c>
      <c r="J60" s="2">
        <v>740.97799999999995</v>
      </c>
      <c r="K60">
        <f t="shared" si="0"/>
        <v>0</v>
      </c>
      <c r="L60" t="str">
        <f t="shared" si="1"/>
        <v/>
      </c>
    </row>
    <row r="61" spans="1:12" x14ac:dyDescent="0.5">
      <c r="A61">
        <v>61</v>
      </c>
      <c r="B61" s="2">
        <v>389.18619999999999</v>
      </c>
      <c r="G61" s="3">
        <v>60</v>
      </c>
      <c r="H61" s="3">
        <v>8</v>
      </c>
      <c r="I61" s="3">
        <v>1</v>
      </c>
      <c r="J61" s="2">
        <v>172.42859999999999</v>
      </c>
      <c r="K61">
        <f t="shared" si="0"/>
        <v>1</v>
      </c>
      <c r="L61">
        <f t="shared" si="1"/>
        <v>59</v>
      </c>
    </row>
    <row r="62" spans="1:12" x14ac:dyDescent="0.5">
      <c r="A62">
        <v>62</v>
      </c>
      <c r="B62" s="2">
        <v>181.69220000000001</v>
      </c>
      <c r="G62" s="3">
        <v>61</v>
      </c>
      <c r="H62" s="3">
        <v>8</v>
      </c>
      <c r="I62" s="3">
        <v>2</v>
      </c>
      <c r="J62" s="2">
        <v>389.18619999999999</v>
      </c>
      <c r="K62">
        <f t="shared" si="0"/>
        <v>0</v>
      </c>
      <c r="L62" t="str">
        <f t="shared" si="1"/>
        <v/>
      </c>
    </row>
    <row r="63" spans="1:12" x14ac:dyDescent="0.5">
      <c r="A63">
        <v>63</v>
      </c>
      <c r="B63" s="2">
        <v>424.75830000000002</v>
      </c>
      <c r="G63" s="3">
        <v>62</v>
      </c>
      <c r="H63" s="3">
        <v>8</v>
      </c>
      <c r="I63" s="3">
        <v>3</v>
      </c>
      <c r="J63" s="2">
        <v>181.69220000000001</v>
      </c>
      <c r="K63">
        <f t="shared" si="0"/>
        <v>0</v>
      </c>
      <c r="L63" t="str">
        <f t="shared" si="1"/>
        <v/>
      </c>
    </row>
    <row r="64" spans="1:12" x14ac:dyDescent="0.5">
      <c r="A64">
        <v>64</v>
      </c>
      <c r="B64" s="2">
        <v>404.7072</v>
      </c>
      <c r="G64" s="3">
        <v>63</v>
      </c>
      <c r="H64" s="3">
        <v>8</v>
      </c>
      <c r="I64" s="3">
        <v>4</v>
      </c>
      <c r="J64" s="2">
        <v>424.75830000000002</v>
      </c>
      <c r="K64">
        <f t="shared" si="0"/>
        <v>0</v>
      </c>
      <c r="L64" t="str">
        <f t="shared" si="1"/>
        <v/>
      </c>
    </row>
    <row r="65" spans="1:12" x14ac:dyDescent="0.5">
      <c r="A65">
        <v>65</v>
      </c>
      <c r="B65" s="2">
        <v>339.06380000000001</v>
      </c>
      <c r="G65" s="3">
        <v>64</v>
      </c>
      <c r="H65" s="3">
        <v>8</v>
      </c>
      <c r="I65" s="3">
        <v>5</v>
      </c>
      <c r="J65" s="2">
        <v>404.7072</v>
      </c>
      <c r="K65">
        <f t="shared" si="0"/>
        <v>0</v>
      </c>
      <c r="L65" t="str">
        <f t="shared" si="1"/>
        <v/>
      </c>
    </row>
    <row r="66" spans="1:12" x14ac:dyDescent="0.5">
      <c r="A66">
        <v>66</v>
      </c>
      <c r="B66" s="2">
        <v>0</v>
      </c>
      <c r="G66" s="3">
        <v>65</v>
      </c>
      <c r="H66" s="3">
        <v>8</v>
      </c>
      <c r="I66" s="3">
        <v>6</v>
      </c>
      <c r="J66" s="2">
        <v>339.06380000000001</v>
      </c>
      <c r="K66">
        <f t="shared" si="0"/>
        <v>0</v>
      </c>
      <c r="L66" t="str">
        <f t="shared" si="1"/>
        <v/>
      </c>
    </row>
    <row r="67" spans="1:12" x14ac:dyDescent="0.5">
      <c r="A67">
        <v>67</v>
      </c>
      <c r="B67" s="2">
        <v>0</v>
      </c>
      <c r="G67" s="3">
        <v>66</v>
      </c>
      <c r="H67" s="3">
        <v>8</v>
      </c>
      <c r="I67" s="3">
        <v>7</v>
      </c>
      <c r="J67" s="2">
        <v>0</v>
      </c>
      <c r="K67">
        <f t="shared" si="0"/>
        <v>0</v>
      </c>
      <c r="L67" t="str">
        <f t="shared" si="1"/>
        <v/>
      </c>
    </row>
    <row r="68" spans="1:12" x14ac:dyDescent="0.5">
      <c r="A68">
        <v>68</v>
      </c>
      <c r="B68" s="2">
        <v>0</v>
      </c>
      <c r="G68" s="3">
        <v>67</v>
      </c>
      <c r="H68" s="3">
        <v>8</v>
      </c>
      <c r="I68" s="3">
        <v>8</v>
      </c>
      <c r="J68" s="2">
        <v>0</v>
      </c>
      <c r="K68">
        <f t="shared" si="0"/>
        <v>0</v>
      </c>
      <c r="L68" t="str">
        <f t="shared" si="1"/>
        <v/>
      </c>
    </row>
    <row r="69" spans="1:12" x14ac:dyDescent="0.5">
      <c r="A69">
        <v>69</v>
      </c>
      <c r="B69" s="2">
        <v>0</v>
      </c>
      <c r="G69" s="3">
        <v>68</v>
      </c>
      <c r="H69" s="3">
        <v>8</v>
      </c>
      <c r="I69" s="3">
        <v>9</v>
      </c>
      <c r="J69" s="2">
        <v>0</v>
      </c>
      <c r="K69">
        <f t="shared" si="0"/>
        <v>0</v>
      </c>
      <c r="L69" t="str">
        <f t="shared" si="1"/>
        <v/>
      </c>
    </row>
    <row r="70" spans="1:12" x14ac:dyDescent="0.5">
      <c r="A70">
        <v>70</v>
      </c>
      <c r="B70" s="2">
        <v>0</v>
      </c>
      <c r="G70" s="3">
        <v>69</v>
      </c>
      <c r="H70" s="3">
        <v>8</v>
      </c>
      <c r="I70" s="3">
        <v>10</v>
      </c>
      <c r="J70" s="2">
        <v>0</v>
      </c>
      <c r="K70">
        <f t="shared" si="0"/>
        <v>0</v>
      </c>
      <c r="L70" t="str">
        <f t="shared" si="1"/>
        <v/>
      </c>
    </row>
    <row r="71" spans="1:12" x14ac:dyDescent="0.5">
      <c r="A71">
        <v>71</v>
      </c>
      <c r="B71" s="2">
        <v>0</v>
      </c>
      <c r="G71" s="3">
        <v>70</v>
      </c>
      <c r="H71" s="3">
        <v>8</v>
      </c>
      <c r="I71" s="3">
        <v>11</v>
      </c>
      <c r="J71" s="2">
        <v>0</v>
      </c>
      <c r="K71">
        <f t="shared" si="0"/>
        <v>0</v>
      </c>
      <c r="L71" t="str">
        <f t="shared" si="1"/>
        <v/>
      </c>
    </row>
    <row r="72" spans="1:12" x14ac:dyDescent="0.5">
      <c r="A72">
        <v>72</v>
      </c>
      <c r="B72" s="2">
        <v>0</v>
      </c>
      <c r="G72" s="3">
        <v>71</v>
      </c>
      <c r="H72" s="3">
        <v>8</v>
      </c>
      <c r="I72" s="3">
        <v>12</v>
      </c>
      <c r="J72" s="2">
        <v>0</v>
      </c>
      <c r="K72">
        <f t="shared" ref="K72:K135" si="3">H72-H71</f>
        <v>0</v>
      </c>
      <c r="L72" t="str">
        <f t="shared" ref="L72:L135" si="4">IF(K72=1,G72-1,"")</f>
        <v/>
      </c>
    </row>
    <row r="73" spans="1:12" x14ac:dyDescent="0.5">
      <c r="A73">
        <v>73</v>
      </c>
      <c r="B73" s="2">
        <v>0</v>
      </c>
      <c r="G73" s="3">
        <v>72</v>
      </c>
      <c r="H73" s="3">
        <v>8</v>
      </c>
      <c r="I73" s="3">
        <v>13</v>
      </c>
      <c r="J73" s="2">
        <v>0</v>
      </c>
      <c r="K73">
        <f t="shared" si="3"/>
        <v>0</v>
      </c>
      <c r="L73" t="str">
        <f t="shared" si="4"/>
        <v/>
      </c>
    </row>
    <row r="74" spans="1:12" x14ac:dyDescent="0.5">
      <c r="A74">
        <v>74</v>
      </c>
      <c r="B74" s="2">
        <v>0</v>
      </c>
      <c r="G74" s="3">
        <v>73</v>
      </c>
      <c r="H74" s="3">
        <v>8</v>
      </c>
      <c r="I74" s="3">
        <v>14</v>
      </c>
      <c r="J74" s="2">
        <v>0</v>
      </c>
      <c r="K74">
        <f t="shared" si="3"/>
        <v>0</v>
      </c>
      <c r="L74" t="str">
        <f t="shared" si="4"/>
        <v/>
      </c>
    </row>
    <row r="75" spans="1:12" x14ac:dyDescent="0.5">
      <c r="A75">
        <v>75</v>
      </c>
      <c r="B75" s="2">
        <v>43.879330000000003</v>
      </c>
      <c r="G75" s="3">
        <v>74</v>
      </c>
      <c r="H75" s="3">
        <v>8</v>
      </c>
      <c r="I75" s="3">
        <v>15</v>
      </c>
      <c r="J75" s="2">
        <v>0</v>
      </c>
      <c r="K75">
        <f t="shared" si="3"/>
        <v>0</v>
      </c>
      <c r="L75" t="str">
        <f t="shared" si="4"/>
        <v/>
      </c>
    </row>
    <row r="76" spans="1:12" x14ac:dyDescent="0.5">
      <c r="A76">
        <v>76</v>
      </c>
      <c r="B76" s="2">
        <v>0</v>
      </c>
      <c r="G76" s="3">
        <v>75</v>
      </c>
      <c r="H76" s="3">
        <v>8</v>
      </c>
      <c r="I76" s="3">
        <v>16</v>
      </c>
      <c r="J76" s="2">
        <v>43.879330000000003</v>
      </c>
      <c r="K76">
        <f t="shared" si="3"/>
        <v>0</v>
      </c>
      <c r="L76" t="str">
        <f t="shared" si="4"/>
        <v/>
      </c>
    </row>
    <row r="77" spans="1:12" x14ac:dyDescent="0.5">
      <c r="A77">
        <v>77</v>
      </c>
      <c r="B77" s="2">
        <v>0</v>
      </c>
      <c r="G77" s="3">
        <v>76</v>
      </c>
      <c r="H77" s="3">
        <v>8</v>
      </c>
      <c r="I77" s="3">
        <v>17</v>
      </c>
      <c r="J77" s="2">
        <v>0</v>
      </c>
      <c r="K77">
        <f t="shared" si="3"/>
        <v>0</v>
      </c>
      <c r="L77" t="str">
        <f t="shared" si="4"/>
        <v/>
      </c>
    </row>
    <row r="78" spans="1:12" x14ac:dyDescent="0.5">
      <c r="A78">
        <v>78</v>
      </c>
      <c r="B78" s="2">
        <v>21.25685</v>
      </c>
      <c r="G78" s="3">
        <v>77</v>
      </c>
      <c r="H78" s="3">
        <v>8</v>
      </c>
      <c r="I78" s="3">
        <v>18</v>
      </c>
      <c r="J78" s="2">
        <v>0</v>
      </c>
      <c r="K78">
        <f t="shared" si="3"/>
        <v>0</v>
      </c>
      <c r="L78" t="str">
        <f t="shared" si="4"/>
        <v/>
      </c>
    </row>
    <row r="79" spans="1:12" x14ac:dyDescent="0.5">
      <c r="A79">
        <v>79</v>
      </c>
      <c r="B79" s="2">
        <v>0</v>
      </c>
      <c r="G79" s="3">
        <v>78</v>
      </c>
      <c r="H79" s="3">
        <v>8</v>
      </c>
      <c r="I79" s="3">
        <v>19</v>
      </c>
      <c r="J79" s="2">
        <v>21.25685</v>
      </c>
      <c r="K79">
        <f t="shared" si="3"/>
        <v>0</v>
      </c>
      <c r="L79" t="str">
        <f t="shared" si="4"/>
        <v/>
      </c>
    </row>
    <row r="80" spans="1:12" x14ac:dyDescent="0.5">
      <c r="A80">
        <v>80</v>
      </c>
      <c r="B80" s="2">
        <v>32.40119</v>
      </c>
      <c r="G80" s="3">
        <v>79</v>
      </c>
      <c r="H80" s="3">
        <v>9</v>
      </c>
      <c r="I80" s="3">
        <v>1</v>
      </c>
      <c r="J80" s="2">
        <v>0</v>
      </c>
      <c r="K80">
        <f t="shared" si="3"/>
        <v>1</v>
      </c>
      <c r="L80">
        <f t="shared" si="4"/>
        <v>78</v>
      </c>
    </row>
    <row r="81" spans="1:12" x14ac:dyDescent="0.5">
      <c r="A81">
        <v>81</v>
      </c>
      <c r="B81" s="2">
        <v>140.76650000000001</v>
      </c>
      <c r="G81" s="3">
        <v>80</v>
      </c>
      <c r="H81" s="3">
        <v>9</v>
      </c>
      <c r="I81" s="3">
        <v>2</v>
      </c>
      <c r="J81" s="2">
        <v>32.40119</v>
      </c>
      <c r="K81">
        <f t="shared" si="3"/>
        <v>0</v>
      </c>
      <c r="L81" t="str">
        <f t="shared" si="4"/>
        <v/>
      </c>
    </row>
    <row r="82" spans="1:12" x14ac:dyDescent="0.5">
      <c r="A82">
        <v>82</v>
      </c>
      <c r="B82" s="2">
        <v>80.52731</v>
      </c>
      <c r="G82" s="3">
        <v>81</v>
      </c>
      <c r="H82" s="3">
        <v>9</v>
      </c>
      <c r="I82" s="3">
        <v>3</v>
      </c>
      <c r="J82" s="2">
        <v>140.76650000000001</v>
      </c>
      <c r="K82">
        <f t="shared" si="3"/>
        <v>0</v>
      </c>
      <c r="L82" t="str">
        <f t="shared" si="4"/>
        <v/>
      </c>
    </row>
    <row r="83" spans="1:12" x14ac:dyDescent="0.5">
      <c r="A83">
        <v>83</v>
      </c>
      <c r="B83" s="2">
        <v>131.35849999999999</v>
      </c>
      <c r="G83" s="3">
        <v>82</v>
      </c>
      <c r="H83" s="3">
        <v>9</v>
      </c>
      <c r="I83" s="3">
        <v>4</v>
      </c>
      <c r="J83" s="2">
        <v>80.52731</v>
      </c>
      <c r="K83">
        <f t="shared" si="3"/>
        <v>0</v>
      </c>
      <c r="L83" t="str">
        <f t="shared" si="4"/>
        <v/>
      </c>
    </row>
    <row r="84" spans="1:12" x14ac:dyDescent="0.5">
      <c r="A84">
        <v>84</v>
      </c>
      <c r="B84" s="2">
        <v>285.92669999999998</v>
      </c>
      <c r="G84" s="3">
        <v>83</v>
      </c>
      <c r="H84" s="3">
        <v>9</v>
      </c>
      <c r="I84" s="3">
        <v>5</v>
      </c>
      <c r="J84" s="2">
        <v>131.35849999999999</v>
      </c>
      <c r="K84">
        <f t="shared" si="3"/>
        <v>0</v>
      </c>
      <c r="L84" t="str">
        <f t="shared" si="4"/>
        <v/>
      </c>
    </row>
    <row r="85" spans="1:12" x14ac:dyDescent="0.5">
      <c r="A85">
        <v>85</v>
      </c>
      <c r="B85" s="2">
        <v>389.51</v>
      </c>
      <c r="G85" s="3">
        <v>84</v>
      </c>
      <c r="H85" s="3">
        <v>9</v>
      </c>
      <c r="I85" s="3">
        <v>6</v>
      </c>
      <c r="J85" s="2">
        <v>285.92669999999998</v>
      </c>
      <c r="K85">
        <f t="shared" si="3"/>
        <v>0</v>
      </c>
      <c r="L85" t="str">
        <f t="shared" si="4"/>
        <v/>
      </c>
    </row>
    <row r="86" spans="1:12" x14ac:dyDescent="0.5">
      <c r="A86">
        <v>86</v>
      </c>
      <c r="B86" s="2">
        <v>505.55579999999998</v>
      </c>
      <c r="G86" s="3">
        <v>85</v>
      </c>
      <c r="H86" s="3">
        <v>9</v>
      </c>
      <c r="I86" s="3">
        <v>7</v>
      </c>
      <c r="J86" s="2">
        <v>389.51</v>
      </c>
      <c r="K86">
        <f t="shared" si="3"/>
        <v>0</v>
      </c>
      <c r="L86" t="str">
        <f t="shared" si="4"/>
        <v/>
      </c>
    </row>
    <row r="87" spans="1:12" x14ac:dyDescent="0.5">
      <c r="A87">
        <v>87</v>
      </c>
      <c r="B87" s="2">
        <v>539.34050000000002</v>
      </c>
      <c r="G87" s="3">
        <v>86</v>
      </c>
      <c r="H87" s="3">
        <v>9</v>
      </c>
      <c r="I87" s="3">
        <v>8</v>
      </c>
      <c r="J87" s="2">
        <v>505.55579999999998</v>
      </c>
      <c r="K87">
        <f t="shared" si="3"/>
        <v>0</v>
      </c>
      <c r="L87" t="str">
        <f t="shared" si="4"/>
        <v/>
      </c>
    </row>
    <row r="88" spans="1:12" x14ac:dyDescent="0.5">
      <c r="A88">
        <v>88</v>
      </c>
      <c r="B88" s="2">
        <v>0</v>
      </c>
      <c r="G88" s="3">
        <v>87</v>
      </c>
      <c r="H88" s="3">
        <v>9</v>
      </c>
      <c r="I88" s="3">
        <v>9</v>
      </c>
      <c r="J88" s="2">
        <v>539.34050000000002</v>
      </c>
      <c r="K88">
        <f t="shared" si="3"/>
        <v>0</v>
      </c>
      <c r="L88" t="str">
        <f t="shared" si="4"/>
        <v/>
      </c>
    </row>
    <row r="89" spans="1:12" x14ac:dyDescent="0.5">
      <c r="A89">
        <v>89</v>
      </c>
      <c r="B89" s="2">
        <v>49.562539999999998</v>
      </c>
      <c r="G89" s="3">
        <v>88</v>
      </c>
      <c r="H89" s="3">
        <v>10</v>
      </c>
      <c r="I89" s="3">
        <v>1</v>
      </c>
      <c r="J89" s="2">
        <v>0</v>
      </c>
      <c r="K89">
        <f t="shared" si="3"/>
        <v>1</v>
      </c>
      <c r="L89">
        <f t="shared" si="4"/>
        <v>87</v>
      </c>
    </row>
    <row r="90" spans="1:12" x14ac:dyDescent="0.5">
      <c r="A90">
        <v>90</v>
      </c>
      <c r="B90" s="2">
        <v>13.259370000000001</v>
      </c>
      <c r="G90" s="3">
        <v>89</v>
      </c>
      <c r="H90" s="3">
        <v>10</v>
      </c>
      <c r="I90" s="3">
        <v>2</v>
      </c>
      <c r="J90" s="2">
        <v>49.562539999999998</v>
      </c>
      <c r="K90">
        <f t="shared" si="3"/>
        <v>0</v>
      </c>
      <c r="L90" t="str">
        <f t="shared" si="4"/>
        <v/>
      </c>
    </row>
    <row r="91" spans="1:12" x14ac:dyDescent="0.5">
      <c r="A91">
        <v>91</v>
      </c>
      <c r="B91" s="2">
        <v>168.53829999999999</v>
      </c>
      <c r="G91" s="3">
        <v>90</v>
      </c>
      <c r="H91" s="3">
        <v>10</v>
      </c>
      <c r="I91" s="3">
        <v>3</v>
      </c>
      <c r="J91" s="2">
        <v>13.259370000000001</v>
      </c>
      <c r="K91">
        <f t="shared" si="3"/>
        <v>0</v>
      </c>
      <c r="L91" t="str">
        <f t="shared" si="4"/>
        <v/>
      </c>
    </row>
    <row r="92" spans="1:12" x14ac:dyDescent="0.5">
      <c r="A92">
        <v>92</v>
      </c>
      <c r="B92" s="2">
        <v>265.52839999999998</v>
      </c>
      <c r="G92" s="3">
        <v>91</v>
      </c>
      <c r="H92" s="3">
        <v>10</v>
      </c>
      <c r="I92" s="3">
        <v>4</v>
      </c>
      <c r="J92" s="2">
        <v>168.53829999999999</v>
      </c>
      <c r="K92">
        <f t="shared" si="3"/>
        <v>0</v>
      </c>
      <c r="L92" t="str">
        <f t="shared" si="4"/>
        <v/>
      </c>
    </row>
    <row r="93" spans="1:12" x14ac:dyDescent="0.5">
      <c r="A93">
        <v>93</v>
      </c>
      <c r="B93" s="2">
        <v>349.3827</v>
      </c>
      <c r="G93" s="3">
        <v>92</v>
      </c>
      <c r="H93" s="3">
        <v>10</v>
      </c>
      <c r="I93" s="3">
        <v>5</v>
      </c>
      <c r="J93" s="2">
        <v>265.52839999999998</v>
      </c>
      <c r="K93">
        <f t="shared" si="3"/>
        <v>0</v>
      </c>
      <c r="L93" t="str">
        <f t="shared" si="4"/>
        <v/>
      </c>
    </row>
    <row r="94" spans="1:12" x14ac:dyDescent="0.5">
      <c r="A94">
        <v>94</v>
      </c>
      <c r="B94" s="2">
        <v>495.07940000000002</v>
      </c>
      <c r="G94" s="3">
        <v>93</v>
      </c>
      <c r="H94" s="3">
        <v>10</v>
      </c>
      <c r="I94" s="3">
        <v>6</v>
      </c>
      <c r="J94" s="2">
        <v>349.3827</v>
      </c>
      <c r="K94">
        <f t="shared" si="3"/>
        <v>0</v>
      </c>
      <c r="L94" t="str">
        <f t="shared" si="4"/>
        <v/>
      </c>
    </row>
    <row r="95" spans="1:12" x14ac:dyDescent="0.5">
      <c r="A95">
        <v>95</v>
      </c>
      <c r="B95" s="2">
        <v>458.4896</v>
      </c>
      <c r="G95" s="3">
        <v>94</v>
      </c>
      <c r="H95" s="3">
        <v>10</v>
      </c>
      <c r="I95" s="3">
        <v>7</v>
      </c>
      <c r="J95" s="2">
        <v>495.07940000000002</v>
      </c>
      <c r="K95">
        <f t="shared" si="3"/>
        <v>0</v>
      </c>
      <c r="L95" t="str">
        <f t="shared" si="4"/>
        <v/>
      </c>
    </row>
    <row r="96" spans="1:12" x14ac:dyDescent="0.5">
      <c r="A96">
        <v>96</v>
      </c>
      <c r="B96" s="2">
        <v>531.98500000000001</v>
      </c>
      <c r="G96" s="3">
        <v>95</v>
      </c>
      <c r="H96" s="3">
        <v>10</v>
      </c>
      <c r="I96" s="3">
        <v>8</v>
      </c>
      <c r="J96" s="2">
        <v>458.4896</v>
      </c>
      <c r="K96">
        <f t="shared" si="3"/>
        <v>0</v>
      </c>
      <c r="L96" t="str">
        <f t="shared" si="4"/>
        <v/>
      </c>
    </row>
    <row r="97" spans="1:12" x14ac:dyDescent="0.5">
      <c r="A97">
        <v>97</v>
      </c>
      <c r="B97" s="2">
        <v>672.92849999999999</v>
      </c>
      <c r="G97" s="3">
        <v>96</v>
      </c>
      <c r="H97" s="3">
        <v>10</v>
      </c>
      <c r="I97" s="3">
        <v>9</v>
      </c>
      <c r="J97" s="2">
        <v>531.98500000000001</v>
      </c>
      <c r="K97">
        <f t="shared" si="3"/>
        <v>0</v>
      </c>
      <c r="L97" t="str">
        <f t="shared" si="4"/>
        <v/>
      </c>
    </row>
    <row r="98" spans="1:12" x14ac:dyDescent="0.5">
      <c r="A98">
        <v>98</v>
      </c>
      <c r="B98" s="2">
        <v>634.5557</v>
      </c>
      <c r="G98" s="3">
        <v>97</v>
      </c>
      <c r="H98" s="3">
        <v>10</v>
      </c>
      <c r="I98" s="3">
        <v>10</v>
      </c>
      <c r="J98" s="2">
        <v>672.92849999999999</v>
      </c>
      <c r="K98">
        <f t="shared" si="3"/>
        <v>0</v>
      </c>
      <c r="L98" t="str">
        <f t="shared" si="4"/>
        <v/>
      </c>
    </row>
    <row r="99" spans="1:12" x14ac:dyDescent="0.5">
      <c r="A99">
        <v>99</v>
      </c>
      <c r="B99" s="2">
        <v>950.55920000000003</v>
      </c>
      <c r="G99" s="3">
        <v>98</v>
      </c>
      <c r="H99" s="3">
        <v>10</v>
      </c>
      <c r="I99" s="3">
        <v>11</v>
      </c>
      <c r="J99" s="2">
        <v>634.5557</v>
      </c>
      <c r="K99">
        <f t="shared" si="3"/>
        <v>0</v>
      </c>
      <c r="L99" t="str">
        <f t="shared" si="4"/>
        <v/>
      </c>
    </row>
    <row r="100" spans="1:12" x14ac:dyDescent="0.5">
      <c r="A100">
        <v>100</v>
      </c>
      <c r="B100" s="2">
        <v>1069.0899999999999</v>
      </c>
      <c r="G100" s="3">
        <v>99</v>
      </c>
      <c r="H100" s="3">
        <v>10</v>
      </c>
      <c r="I100" s="3">
        <v>12</v>
      </c>
      <c r="J100" s="2">
        <v>950.55920000000003</v>
      </c>
      <c r="K100">
        <f t="shared" si="3"/>
        <v>0</v>
      </c>
      <c r="L100" t="str">
        <f t="shared" si="4"/>
        <v/>
      </c>
    </row>
    <row r="101" spans="1:12" x14ac:dyDescent="0.5">
      <c r="A101">
        <v>101</v>
      </c>
      <c r="B101" s="2">
        <v>1221.086</v>
      </c>
      <c r="G101" s="3">
        <v>100</v>
      </c>
      <c r="H101" s="3">
        <v>10</v>
      </c>
      <c r="I101" s="3">
        <v>13</v>
      </c>
      <c r="J101" s="2">
        <v>1069.0899999999999</v>
      </c>
      <c r="K101">
        <f t="shared" si="3"/>
        <v>0</v>
      </c>
      <c r="L101" t="str">
        <f t="shared" si="4"/>
        <v/>
      </c>
    </row>
    <row r="102" spans="1:12" x14ac:dyDescent="0.5">
      <c r="A102">
        <v>102</v>
      </c>
      <c r="B102" s="2">
        <v>1306.8800000000001</v>
      </c>
      <c r="G102" s="3">
        <v>101</v>
      </c>
      <c r="H102" s="3">
        <v>10</v>
      </c>
      <c r="I102" s="3">
        <v>14</v>
      </c>
      <c r="J102" s="2">
        <v>1221.086</v>
      </c>
      <c r="K102">
        <f t="shared" si="3"/>
        <v>0</v>
      </c>
      <c r="L102" t="str">
        <f t="shared" si="4"/>
        <v/>
      </c>
    </row>
    <row r="103" spans="1:12" x14ac:dyDescent="0.5">
      <c r="A103">
        <v>103</v>
      </c>
      <c r="B103" s="2">
        <v>1318.5550000000001</v>
      </c>
      <c r="G103" s="3">
        <v>102</v>
      </c>
      <c r="H103" s="3">
        <v>10</v>
      </c>
      <c r="I103" s="3">
        <v>15</v>
      </c>
      <c r="J103" s="2">
        <v>1306.8800000000001</v>
      </c>
      <c r="K103">
        <f t="shared" si="3"/>
        <v>0</v>
      </c>
      <c r="L103" t="str">
        <f t="shared" si="4"/>
        <v/>
      </c>
    </row>
    <row r="104" spans="1:12" x14ac:dyDescent="0.5">
      <c r="A104">
        <v>104</v>
      </c>
      <c r="B104" s="2">
        <v>1128.7139999999999</v>
      </c>
      <c r="G104" s="3">
        <v>103</v>
      </c>
      <c r="H104" s="3">
        <v>10</v>
      </c>
      <c r="I104" s="3">
        <v>16</v>
      </c>
      <c r="J104" s="2">
        <v>1318.5550000000001</v>
      </c>
      <c r="K104">
        <f t="shared" si="3"/>
        <v>0</v>
      </c>
      <c r="L104" t="str">
        <f t="shared" si="4"/>
        <v/>
      </c>
    </row>
    <row r="105" spans="1:12" x14ac:dyDescent="0.5">
      <c r="A105">
        <v>105</v>
      </c>
      <c r="B105" s="2">
        <v>1372.077</v>
      </c>
      <c r="G105" s="3">
        <v>104</v>
      </c>
      <c r="H105" s="3">
        <v>10</v>
      </c>
      <c r="I105" s="3">
        <v>17</v>
      </c>
      <c r="J105" s="2">
        <v>1128.7139999999999</v>
      </c>
      <c r="K105">
        <f t="shared" si="3"/>
        <v>0</v>
      </c>
      <c r="L105" t="str">
        <f t="shared" si="4"/>
        <v/>
      </c>
    </row>
    <row r="106" spans="1:12" x14ac:dyDescent="0.5">
      <c r="A106">
        <v>106</v>
      </c>
      <c r="B106" s="2">
        <v>1667.2280000000001</v>
      </c>
      <c r="G106" s="3">
        <v>105</v>
      </c>
      <c r="H106" s="3">
        <v>10</v>
      </c>
      <c r="I106" s="3">
        <v>18</v>
      </c>
      <c r="J106" s="2">
        <v>1372.077</v>
      </c>
      <c r="K106">
        <f t="shared" si="3"/>
        <v>0</v>
      </c>
      <c r="L106" t="str">
        <f t="shared" si="4"/>
        <v/>
      </c>
    </row>
    <row r="107" spans="1:12" x14ac:dyDescent="0.5">
      <c r="A107">
        <v>107</v>
      </c>
      <c r="B107" s="2">
        <v>1673.9590000000001</v>
      </c>
      <c r="G107" s="3">
        <v>106</v>
      </c>
      <c r="H107" s="3">
        <v>10</v>
      </c>
      <c r="I107" s="3">
        <v>19</v>
      </c>
      <c r="J107" s="2">
        <v>1667.2280000000001</v>
      </c>
      <c r="K107">
        <f t="shared" si="3"/>
        <v>0</v>
      </c>
      <c r="L107" t="str">
        <f t="shared" si="4"/>
        <v/>
      </c>
    </row>
    <row r="108" spans="1:12" x14ac:dyDescent="0.5">
      <c r="A108">
        <v>108</v>
      </c>
      <c r="B108" s="2">
        <v>1607.7429999999999</v>
      </c>
      <c r="G108" s="3">
        <v>107</v>
      </c>
      <c r="H108" s="3">
        <v>10</v>
      </c>
      <c r="I108" s="3">
        <v>20</v>
      </c>
      <c r="J108" s="2">
        <v>1673.9590000000001</v>
      </c>
      <c r="K108">
        <f t="shared" si="3"/>
        <v>0</v>
      </c>
      <c r="L108" t="str">
        <f t="shared" si="4"/>
        <v/>
      </c>
    </row>
    <row r="109" spans="1:12" x14ac:dyDescent="0.5">
      <c r="A109">
        <v>109</v>
      </c>
      <c r="B109" s="2">
        <v>1855.088</v>
      </c>
      <c r="G109" s="3">
        <v>108</v>
      </c>
      <c r="H109" s="3">
        <v>10</v>
      </c>
      <c r="I109" s="3">
        <v>21</v>
      </c>
      <c r="J109" s="2">
        <v>1607.7429999999999</v>
      </c>
      <c r="K109">
        <f t="shared" si="3"/>
        <v>0</v>
      </c>
      <c r="L109" t="str">
        <f t="shared" si="4"/>
        <v/>
      </c>
    </row>
    <row r="110" spans="1:12" x14ac:dyDescent="0.5">
      <c r="A110">
        <v>110</v>
      </c>
      <c r="B110" s="2">
        <v>2029.3889999999999</v>
      </c>
      <c r="G110" s="3">
        <v>109</v>
      </c>
      <c r="H110" s="3">
        <v>10</v>
      </c>
      <c r="I110" s="3">
        <v>22</v>
      </c>
      <c r="J110" s="2">
        <v>1855.088</v>
      </c>
      <c r="K110">
        <f t="shared" si="3"/>
        <v>0</v>
      </c>
      <c r="L110" t="str">
        <f t="shared" si="4"/>
        <v/>
      </c>
    </row>
    <row r="111" spans="1:12" x14ac:dyDescent="0.5">
      <c r="A111">
        <v>111</v>
      </c>
      <c r="B111" s="2">
        <v>2077.9520000000002</v>
      </c>
      <c r="G111" s="3">
        <v>110</v>
      </c>
      <c r="H111" s="3">
        <v>10</v>
      </c>
      <c r="I111" s="3">
        <v>23</v>
      </c>
      <c r="J111" s="2">
        <v>2029.3889999999999</v>
      </c>
      <c r="K111">
        <f t="shared" si="3"/>
        <v>0</v>
      </c>
      <c r="L111" t="str">
        <f t="shared" si="4"/>
        <v/>
      </c>
    </row>
    <row r="112" spans="1:12" x14ac:dyDescent="0.5">
      <c r="A112">
        <v>112</v>
      </c>
      <c r="B112" s="2">
        <v>11427.35</v>
      </c>
      <c r="G112" s="3">
        <v>111</v>
      </c>
      <c r="H112" s="3">
        <v>10</v>
      </c>
      <c r="I112" s="3">
        <v>24</v>
      </c>
      <c r="J112" s="2">
        <v>2077.9520000000002</v>
      </c>
      <c r="K112">
        <f t="shared" si="3"/>
        <v>0</v>
      </c>
      <c r="L112" t="str">
        <f t="shared" si="4"/>
        <v/>
      </c>
    </row>
    <row r="113" spans="1:12" x14ac:dyDescent="0.5">
      <c r="A113">
        <v>113</v>
      </c>
      <c r="B113" s="2">
        <v>11515.74</v>
      </c>
      <c r="G113" s="3">
        <v>112</v>
      </c>
      <c r="H113" s="3">
        <v>11</v>
      </c>
      <c r="I113" s="3">
        <v>1</v>
      </c>
      <c r="J113" s="2">
        <v>11427.35</v>
      </c>
      <c r="K113">
        <f t="shared" si="3"/>
        <v>1</v>
      </c>
      <c r="L113">
        <f t="shared" si="4"/>
        <v>111</v>
      </c>
    </row>
    <row r="114" spans="1:12" x14ac:dyDescent="0.5">
      <c r="A114">
        <v>114</v>
      </c>
      <c r="B114" s="2">
        <v>11598.28</v>
      </c>
      <c r="G114" s="3">
        <v>113</v>
      </c>
      <c r="H114" s="3">
        <v>11</v>
      </c>
      <c r="I114" s="3">
        <v>2</v>
      </c>
      <c r="J114" s="2">
        <v>11515.74</v>
      </c>
      <c r="K114">
        <f t="shared" si="3"/>
        <v>0</v>
      </c>
      <c r="L114" t="str">
        <f t="shared" si="4"/>
        <v/>
      </c>
    </row>
    <row r="115" spans="1:12" x14ac:dyDescent="0.5">
      <c r="A115">
        <v>115</v>
      </c>
      <c r="B115" s="2">
        <v>11643.02</v>
      </c>
      <c r="G115" s="3">
        <v>114</v>
      </c>
      <c r="H115" s="3">
        <v>11</v>
      </c>
      <c r="I115" s="3">
        <v>3</v>
      </c>
      <c r="J115" s="2">
        <v>11598.28</v>
      </c>
      <c r="K115">
        <f t="shared" si="3"/>
        <v>0</v>
      </c>
      <c r="L115" t="str">
        <f t="shared" si="4"/>
        <v/>
      </c>
    </row>
    <row r="116" spans="1:12" x14ac:dyDescent="0.5">
      <c r="A116">
        <v>116</v>
      </c>
      <c r="B116" s="2">
        <v>11570.85</v>
      </c>
      <c r="G116" s="3">
        <v>115</v>
      </c>
      <c r="H116" s="3">
        <v>11</v>
      </c>
      <c r="I116" s="3">
        <v>4</v>
      </c>
      <c r="J116" s="2">
        <v>11643.02</v>
      </c>
      <c r="K116">
        <f t="shared" si="3"/>
        <v>0</v>
      </c>
      <c r="L116" t="str">
        <f t="shared" si="4"/>
        <v/>
      </c>
    </row>
    <row r="117" spans="1:12" x14ac:dyDescent="0.5">
      <c r="A117">
        <v>117</v>
      </c>
      <c r="B117" s="2">
        <v>11592.08</v>
      </c>
      <c r="G117" s="3">
        <v>116</v>
      </c>
      <c r="H117" s="3">
        <v>11</v>
      </c>
      <c r="I117" s="3">
        <v>5</v>
      </c>
      <c r="J117" s="2">
        <v>11570.85</v>
      </c>
      <c r="K117">
        <f t="shared" si="3"/>
        <v>0</v>
      </c>
      <c r="L117" t="str">
        <f t="shared" si="4"/>
        <v/>
      </c>
    </row>
    <row r="118" spans="1:12" x14ac:dyDescent="0.5">
      <c r="A118">
        <v>118</v>
      </c>
      <c r="B118" s="2">
        <v>11716.42</v>
      </c>
      <c r="G118" s="3">
        <v>117</v>
      </c>
      <c r="H118" s="3">
        <v>11</v>
      </c>
      <c r="I118" s="3">
        <v>6</v>
      </c>
      <c r="J118" s="2">
        <v>11592.08</v>
      </c>
      <c r="K118">
        <f t="shared" si="3"/>
        <v>0</v>
      </c>
      <c r="L118" t="str">
        <f t="shared" si="4"/>
        <v/>
      </c>
    </row>
    <row r="119" spans="1:12" x14ac:dyDescent="0.5">
      <c r="A119">
        <v>119</v>
      </c>
      <c r="B119" s="2">
        <v>11812.11</v>
      </c>
      <c r="G119" s="3">
        <v>118</v>
      </c>
      <c r="H119" s="3">
        <v>11</v>
      </c>
      <c r="I119" s="3">
        <v>7</v>
      </c>
      <c r="J119" s="2">
        <v>11716.42</v>
      </c>
      <c r="K119">
        <f t="shared" si="3"/>
        <v>0</v>
      </c>
      <c r="L119" t="str">
        <f t="shared" si="4"/>
        <v/>
      </c>
    </row>
    <row r="120" spans="1:12" x14ac:dyDescent="0.5">
      <c r="A120">
        <v>120</v>
      </c>
      <c r="B120" s="2">
        <v>247.47290000000001</v>
      </c>
      <c r="G120" s="3">
        <v>119</v>
      </c>
      <c r="H120" s="3">
        <v>11</v>
      </c>
      <c r="I120" s="3">
        <v>8</v>
      </c>
      <c r="J120" s="2">
        <v>11812.11</v>
      </c>
      <c r="K120">
        <f t="shared" si="3"/>
        <v>0</v>
      </c>
      <c r="L120" t="str">
        <f t="shared" si="4"/>
        <v/>
      </c>
    </row>
    <row r="121" spans="1:12" x14ac:dyDescent="0.5">
      <c r="A121">
        <v>121</v>
      </c>
      <c r="B121" s="2">
        <v>274.58339999999998</v>
      </c>
      <c r="G121" s="3">
        <v>120</v>
      </c>
      <c r="H121" s="3">
        <v>12</v>
      </c>
      <c r="I121" s="3">
        <v>1</v>
      </c>
      <c r="J121" s="2">
        <v>247.47290000000001</v>
      </c>
      <c r="K121">
        <f t="shared" si="3"/>
        <v>1</v>
      </c>
      <c r="L121">
        <f t="shared" si="4"/>
        <v>119</v>
      </c>
    </row>
    <row r="122" spans="1:12" x14ac:dyDescent="0.5">
      <c r="A122">
        <v>122</v>
      </c>
      <c r="B122" s="2">
        <v>610.86509999999998</v>
      </c>
      <c r="G122" s="3">
        <v>121</v>
      </c>
      <c r="H122" s="3">
        <v>12</v>
      </c>
      <c r="I122" s="3">
        <v>2</v>
      </c>
      <c r="J122" s="2">
        <v>274.58339999999998</v>
      </c>
      <c r="K122">
        <f t="shared" si="3"/>
        <v>0</v>
      </c>
      <c r="L122" t="str">
        <f t="shared" si="4"/>
        <v/>
      </c>
    </row>
    <row r="123" spans="1:12" x14ac:dyDescent="0.5">
      <c r="A123">
        <v>123</v>
      </c>
      <c r="B123" s="2">
        <v>737.09609999999998</v>
      </c>
      <c r="G123" s="3">
        <v>122</v>
      </c>
      <c r="H123" s="3">
        <v>12</v>
      </c>
      <c r="I123" s="3">
        <v>3</v>
      </c>
      <c r="J123" s="2">
        <v>610.86509999999998</v>
      </c>
      <c r="K123">
        <f t="shared" si="3"/>
        <v>0</v>
      </c>
      <c r="L123" t="str">
        <f t="shared" si="4"/>
        <v/>
      </c>
    </row>
    <row r="124" spans="1:12" x14ac:dyDescent="0.5">
      <c r="A124">
        <v>124</v>
      </c>
      <c r="B124" s="2">
        <v>877.32449999999994</v>
      </c>
      <c r="G124" s="3">
        <v>123</v>
      </c>
      <c r="H124" s="3">
        <v>12</v>
      </c>
      <c r="I124" s="3">
        <v>4</v>
      </c>
      <c r="J124" s="2">
        <v>737.09609999999998</v>
      </c>
      <c r="K124">
        <f t="shared" si="3"/>
        <v>0</v>
      </c>
      <c r="L124" t="str">
        <f t="shared" si="4"/>
        <v/>
      </c>
    </row>
    <row r="125" spans="1:12" x14ac:dyDescent="0.5">
      <c r="A125">
        <v>125</v>
      </c>
      <c r="B125" s="2">
        <v>1013.872</v>
      </c>
      <c r="G125" s="3">
        <v>124</v>
      </c>
      <c r="H125" s="3">
        <v>12</v>
      </c>
      <c r="I125" s="3">
        <v>5</v>
      </c>
      <c r="J125" s="2">
        <v>877.32449999999994</v>
      </c>
      <c r="K125">
        <f t="shared" si="3"/>
        <v>0</v>
      </c>
      <c r="L125" t="str">
        <f t="shared" si="4"/>
        <v/>
      </c>
    </row>
    <row r="126" spans="1:12" x14ac:dyDescent="0.5">
      <c r="A126">
        <v>126</v>
      </c>
      <c r="B126" s="2">
        <v>1132.7850000000001</v>
      </c>
      <c r="G126" s="3">
        <v>125</v>
      </c>
      <c r="H126" s="3">
        <v>12</v>
      </c>
      <c r="I126" s="3">
        <v>6</v>
      </c>
      <c r="J126" s="2">
        <v>1013.872</v>
      </c>
      <c r="K126">
        <f t="shared" si="3"/>
        <v>0</v>
      </c>
      <c r="L126" t="str">
        <f t="shared" si="4"/>
        <v/>
      </c>
    </row>
    <row r="127" spans="1:12" x14ac:dyDescent="0.5">
      <c r="A127">
        <v>127</v>
      </c>
      <c r="B127" s="2">
        <v>1044.3489999999999</v>
      </c>
      <c r="G127" s="3">
        <v>126</v>
      </c>
      <c r="H127" s="3">
        <v>12</v>
      </c>
      <c r="I127" s="3">
        <v>7</v>
      </c>
      <c r="J127" s="2">
        <v>1132.7850000000001</v>
      </c>
      <c r="K127">
        <f t="shared" si="3"/>
        <v>0</v>
      </c>
      <c r="L127" t="str">
        <f t="shared" si="4"/>
        <v/>
      </c>
    </row>
    <row r="128" spans="1:12" x14ac:dyDescent="0.5">
      <c r="A128">
        <v>128</v>
      </c>
      <c r="B128" s="2">
        <v>876.02930000000003</v>
      </c>
      <c r="G128" s="3">
        <v>127</v>
      </c>
      <c r="H128" s="3">
        <v>12</v>
      </c>
      <c r="I128" s="3">
        <v>8</v>
      </c>
      <c r="J128" s="2">
        <v>1044.3489999999999</v>
      </c>
      <c r="K128">
        <f t="shared" si="3"/>
        <v>0</v>
      </c>
      <c r="L128" t="str">
        <f t="shared" si="4"/>
        <v/>
      </c>
    </row>
    <row r="129" spans="1:12" x14ac:dyDescent="0.5">
      <c r="A129">
        <v>129</v>
      </c>
      <c r="B129" s="2">
        <v>1290.7550000000001</v>
      </c>
      <c r="G129" s="3">
        <v>128</v>
      </c>
      <c r="H129" s="3">
        <v>12</v>
      </c>
      <c r="I129" s="3">
        <v>9</v>
      </c>
      <c r="J129" s="2">
        <v>876.02930000000003</v>
      </c>
      <c r="K129">
        <f t="shared" si="3"/>
        <v>0</v>
      </c>
      <c r="L129" t="str">
        <f t="shared" si="4"/>
        <v/>
      </c>
    </row>
    <row r="130" spans="1:12" x14ac:dyDescent="0.5">
      <c r="A130">
        <v>130</v>
      </c>
      <c r="B130" s="2">
        <v>518.36919999999998</v>
      </c>
      <c r="G130" s="3">
        <v>129</v>
      </c>
      <c r="H130" s="3">
        <v>12</v>
      </c>
      <c r="I130" s="3">
        <v>10</v>
      </c>
      <c r="J130" s="2">
        <v>1290.7550000000001</v>
      </c>
      <c r="K130">
        <f t="shared" si="3"/>
        <v>0</v>
      </c>
      <c r="L130" t="str">
        <f t="shared" si="4"/>
        <v/>
      </c>
    </row>
    <row r="131" spans="1:12" x14ac:dyDescent="0.5">
      <c r="A131">
        <v>131</v>
      </c>
      <c r="B131" s="2">
        <v>811.84040000000005</v>
      </c>
      <c r="G131" s="3">
        <v>130</v>
      </c>
      <c r="H131" s="3">
        <v>12</v>
      </c>
      <c r="I131" s="3">
        <v>11</v>
      </c>
      <c r="J131" s="2">
        <v>518.36919999999998</v>
      </c>
      <c r="K131">
        <f t="shared" si="3"/>
        <v>0</v>
      </c>
      <c r="L131" t="str">
        <f t="shared" si="4"/>
        <v/>
      </c>
    </row>
    <row r="132" spans="1:12" x14ac:dyDescent="0.5">
      <c r="A132">
        <v>132</v>
      </c>
      <c r="B132" s="2">
        <v>966.59860000000003</v>
      </c>
      <c r="G132" s="3">
        <v>131</v>
      </c>
      <c r="H132" s="3">
        <v>12</v>
      </c>
      <c r="I132" s="3">
        <v>12</v>
      </c>
      <c r="J132" s="2">
        <v>811.84040000000005</v>
      </c>
      <c r="K132">
        <f t="shared" si="3"/>
        <v>0</v>
      </c>
      <c r="L132" t="str">
        <f t="shared" si="4"/>
        <v/>
      </c>
    </row>
    <row r="133" spans="1:12" x14ac:dyDescent="0.5">
      <c r="A133">
        <v>133</v>
      </c>
      <c r="B133" s="2">
        <v>801.77890000000002</v>
      </c>
      <c r="G133" s="3">
        <v>132</v>
      </c>
      <c r="H133" s="3">
        <v>12</v>
      </c>
      <c r="I133" s="3">
        <v>13</v>
      </c>
      <c r="J133" s="2">
        <v>966.59860000000003</v>
      </c>
      <c r="K133">
        <f t="shared" si="3"/>
        <v>0</v>
      </c>
      <c r="L133" t="str">
        <f t="shared" si="4"/>
        <v/>
      </c>
    </row>
    <row r="134" spans="1:12" x14ac:dyDescent="0.5">
      <c r="A134">
        <v>134</v>
      </c>
      <c r="B134" s="2">
        <v>861.85749999999996</v>
      </c>
      <c r="G134" s="3">
        <v>133</v>
      </c>
      <c r="H134" s="3">
        <v>12</v>
      </c>
      <c r="I134" s="3">
        <v>14</v>
      </c>
      <c r="J134" s="2">
        <v>801.77890000000002</v>
      </c>
      <c r="K134">
        <f t="shared" si="3"/>
        <v>0</v>
      </c>
      <c r="L134" t="str">
        <f t="shared" si="4"/>
        <v/>
      </c>
    </row>
    <row r="135" spans="1:12" x14ac:dyDescent="0.5">
      <c r="A135">
        <v>135</v>
      </c>
      <c r="B135" s="2">
        <v>850.94640000000004</v>
      </c>
      <c r="G135" s="3">
        <v>134</v>
      </c>
      <c r="H135" s="3">
        <v>12</v>
      </c>
      <c r="I135" s="3">
        <v>15</v>
      </c>
      <c r="J135" s="2">
        <v>861.85749999999996</v>
      </c>
      <c r="K135">
        <f t="shared" si="3"/>
        <v>0</v>
      </c>
      <c r="L135" t="str">
        <f t="shared" si="4"/>
        <v/>
      </c>
    </row>
    <row r="136" spans="1:12" x14ac:dyDescent="0.5">
      <c r="A136">
        <v>136</v>
      </c>
      <c r="B136" s="2">
        <v>708.79420000000005</v>
      </c>
      <c r="G136" s="3">
        <v>135</v>
      </c>
      <c r="H136" s="3">
        <v>12</v>
      </c>
      <c r="I136" s="3">
        <v>16</v>
      </c>
      <c r="J136" s="2">
        <v>850.94640000000004</v>
      </c>
      <c r="K136">
        <f t="shared" ref="K136:K199" si="5">H136-H135</f>
        <v>0</v>
      </c>
      <c r="L136" t="str">
        <f t="shared" ref="L136:L199" si="6">IF(K136=1,G136-1,"")</f>
        <v/>
      </c>
    </row>
    <row r="137" spans="1:12" x14ac:dyDescent="0.5">
      <c r="A137">
        <v>137</v>
      </c>
      <c r="B137" s="2">
        <v>945.93380000000002</v>
      </c>
      <c r="G137" s="3">
        <v>136</v>
      </c>
      <c r="H137" s="3">
        <v>12</v>
      </c>
      <c r="I137" s="3">
        <v>17</v>
      </c>
      <c r="J137" s="2">
        <v>708.79420000000005</v>
      </c>
      <c r="K137">
        <f t="shared" si="5"/>
        <v>0</v>
      </c>
      <c r="L137" t="str">
        <f t="shared" si="6"/>
        <v/>
      </c>
    </row>
    <row r="138" spans="1:12" x14ac:dyDescent="0.5">
      <c r="A138">
        <v>138</v>
      </c>
      <c r="B138" s="2">
        <v>1021.888</v>
      </c>
      <c r="G138" s="3">
        <v>137</v>
      </c>
      <c r="H138" s="3">
        <v>12</v>
      </c>
      <c r="I138" s="3">
        <v>18</v>
      </c>
      <c r="J138" s="2">
        <v>945.93380000000002</v>
      </c>
      <c r="K138">
        <f t="shared" si="5"/>
        <v>0</v>
      </c>
      <c r="L138" t="str">
        <f t="shared" si="6"/>
        <v/>
      </c>
    </row>
    <row r="139" spans="1:12" x14ac:dyDescent="0.5">
      <c r="A139">
        <v>139</v>
      </c>
      <c r="B139" s="2">
        <v>856.01620000000003</v>
      </c>
      <c r="G139" s="3">
        <v>138</v>
      </c>
      <c r="H139" s="3">
        <v>12</v>
      </c>
      <c r="I139" s="3">
        <v>19</v>
      </c>
      <c r="J139" s="2">
        <v>1021.888</v>
      </c>
      <c r="K139">
        <f t="shared" si="5"/>
        <v>0</v>
      </c>
      <c r="L139" t="str">
        <f t="shared" si="6"/>
        <v/>
      </c>
    </row>
    <row r="140" spans="1:12" x14ac:dyDescent="0.5">
      <c r="A140">
        <v>140</v>
      </c>
      <c r="B140" s="2">
        <v>790.49509999999998</v>
      </c>
      <c r="G140" s="3">
        <v>139</v>
      </c>
      <c r="H140" s="3">
        <v>12</v>
      </c>
      <c r="I140" s="3">
        <v>20</v>
      </c>
      <c r="J140" s="2">
        <v>856.01620000000003</v>
      </c>
      <c r="K140">
        <f t="shared" si="5"/>
        <v>0</v>
      </c>
      <c r="L140" t="str">
        <f t="shared" si="6"/>
        <v/>
      </c>
    </row>
    <row r="141" spans="1:12" x14ac:dyDescent="0.5">
      <c r="A141">
        <v>141</v>
      </c>
      <c r="B141" s="2">
        <v>545.25379999999996</v>
      </c>
      <c r="G141" s="3">
        <v>140</v>
      </c>
      <c r="H141" s="3">
        <v>12</v>
      </c>
      <c r="I141" s="3">
        <v>21</v>
      </c>
      <c r="J141" s="2">
        <v>790.49509999999998</v>
      </c>
      <c r="K141">
        <f t="shared" si="5"/>
        <v>0</v>
      </c>
      <c r="L141" t="str">
        <f t="shared" si="6"/>
        <v/>
      </c>
    </row>
    <row r="142" spans="1:12" x14ac:dyDescent="0.5">
      <c r="A142">
        <v>142</v>
      </c>
      <c r="B142" s="2">
        <v>430.70249999999999</v>
      </c>
      <c r="G142" s="3">
        <v>141</v>
      </c>
      <c r="H142" s="3">
        <v>12</v>
      </c>
      <c r="I142" s="3">
        <v>22</v>
      </c>
      <c r="J142" s="2">
        <v>545.25379999999996</v>
      </c>
      <c r="K142">
        <f t="shared" si="5"/>
        <v>0</v>
      </c>
      <c r="L142" t="str">
        <f t="shared" si="6"/>
        <v/>
      </c>
    </row>
    <row r="143" spans="1:12" x14ac:dyDescent="0.5">
      <c r="A143">
        <v>143</v>
      </c>
      <c r="B143" s="2">
        <v>0</v>
      </c>
      <c r="G143" s="3">
        <v>142</v>
      </c>
      <c r="H143" s="3">
        <v>12</v>
      </c>
      <c r="I143" s="3">
        <v>23</v>
      </c>
      <c r="J143" s="2">
        <v>430.70249999999999</v>
      </c>
      <c r="K143">
        <f t="shared" si="5"/>
        <v>0</v>
      </c>
      <c r="L143" t="str">
        <f t="shared" si="6"/>
        <v/>
      </c>
    </row>
    <row r="144" spans="1:12" x14ac:dyDescent="0.5">
      <c r="A144">
        <v>144</v>
      </c>
      <c r="B144" s="2">
        <v>52.344819999999999</v>
      </c>
      <c r="G144" s="3">
        <v>143</v>
      </c>
      <c r="H144" s="3">
        <v>12</v>
      </c>
      <c r="I144" s="3">
        <v>24</v>
      </c>
      <c r="J144" s="2">
        <v>0</v>
      </c>
      <c r="K144">
        <f t="shared" si="5"/>
        <v>0</v>
      </c>
      <c r="L144" t="str">
        <f t="shared" si="6"/>
        <v/>
      </c>
    </row>
    <row r="145" spans="1:12" x14ac:dyDescent="0.5">
      <c r="A145">
        <v>145</v>
      </c>
      <c r="B145" s="2">
        <v>12104.57</v>
      </c>
      <c r="G145" s="3">
        <v>144</v>
      </c>
      <c r="H145" s="3">
        <v>12</v>
      </c>
      <c r="I145" s="3">
        <v>25</v>
      </c>
      <c r="J145" s="2">
        <v>52.344819999999999</v>
      </c>
      <c r="K145">
        <f t="shared" si="5"/>
        <v>0</v>
      </c>
      <c r="L145" t="str">
        <f t="shared" si="6"/>
        <v/>
      </c>
    </row>
    <row r="146" spans="1:12" x14ac:dyDescent="0.5">
      <c r="A146">
        <v>146</v>
      </c>
      <c r="B146" s="2">
        <v>11895.4</v>
      </c>
      <c r="G146" s="3">
        <v>145</v>
      </c>
      <c r="H146" s="3">
        <v>13</v>
      </c>
      <c r="I146" s="3">
        <v>1</v>
      </c>
      <c r="J146" s="2">
        <v>12104.57</v>
      </c>
      <c r="K146">
        <f t="shared" si="5"/>
        <v>1</v>
      </c>
      <c r="L146">
        <f t="shared" si="6"/>
        <v>144</v>
      </c>
    </row>
    <row r="147" spans="1:12" x14ac:dyDescent="0.5">
      <c r="A147">
        <v>147</v>
      </c>
      <c r="B147" s="2">
        <v>11659.39</v>
      </c>
      <c r="G147" s="3">
        <v>146</v>
      </c>
      <c r="H147" s="3">
        <v>13</v>
      </c>
      <c r="I147" s="3">
        <v>2</v>
      </c>
      <c r="J147" s="2">
        <v>11895.4</v>
      </c>
      <c r="K147">
        <f t="shared" si="5"/>
        <v>0</v>
      </c>
      <c r="L147" t="str">
        <f t="shared" si="6"/>
        <v/>
      </c>
    </row>
    <row r="148" spans="1:12" x14ac:dyDescent="0.5">
      <c r="A148">
        <v>148</v>
      </c>
      <c r="B148" s="2">
        <v>11669.77</v>
      </c>
      <c r="G148" s="3">
        <v>147</v>
      </c>
      <c r="H148" s="3">
        <v>13</v>
      </c>
      <c r="I148" s="3">
        <v>3</v>
      </c>
      <c r="J148" s="2">
        <v>11659.39</v>
      </c>
      <c r="K148">
        <f t="shared" si="5"/>
        <v>0</v>
      </c>
      <c r="L148" t="str">
        <f t="shared" si="6"/>
        <v/>
      </c>
    </row>
    <row r="149" spans="1:12" x14ac:dyDescent="0.5">
      <c r="A149">
        <v>149</v>
      </c>
      <c r="B149" s="2">
        <v>0</v>
      </c>
      <c r="G149" s="3">
        <v>148</v>
      </c>
      <c r="H149" s="3">
        <v>13</v>
      </c>
      <c r="I149" s="3">
        <v>4</v>
      </c>
      <c r="J149" s="2">
        <v>11669.77</v>
      </c>
      <c r="K149">
        <f t="shared" si="5"/>
        <v>0</v>
      </c>
      <c r="L149" t="str">
        <f t="shared" si="6"/>
        <v/>
      </c>
    </row>
    <row r="150" spans="1:12" x14ac:dyDescent="0.5">
      <c r="A150">
        <v>150</v>
      </c>
      <c r="B150" s="2">
        <v>0</v>
      </c>
      <c r="G150" s="3">
        <v>149</v>
      </c>
      <c r="H150" s="3">
        <v>14</v>
      </c>
      <c r="I150" s="3">
        <v>1</v>
      </c>
      <c r="J150" s="2">
        <v>0</v>
      </c>
      <c r="K150">
        <f t="shared" si="5"/>
        <v>1</v>
      </c>
      <c r="L150">
        <f t="shared" si="6"/>
        <v>148</v>
      </c>
    </row>
    <row r="151" spans="1:12" x14ac:dyDescent="0.5">
      <c r="A151">
        <v>151</v>
      </c>
      <c r="B151" s="2">
        <v>0</v>
      </c>
      <c r="G151" s="3">
        <v>150</v>
      </c>
      <c r="H151" s="3">
        <v>14</v>
      </c>
      <c r="I151" s="3">
        <v>2</v>
      </c>
      <c r="J151" s="2">
        <v>0</v>
      </c>
      <c r="K151">
        <f t="shared" si="5"/>
        <v>0</v>
      </c>
      <c r="L151" t="str">
        <f t="shared" si="6"/>
        <v/>
      </c>
    </row>
    <row r="152" spans="1:12" x14ac:dyDescent="0.5">
      <c r="A152">
        <v>152</v>
      </c>
      <c r="B152" s="2">
        <v>0</v>
      </c>
      <c r="G152" s="3">
        <v>151</v>
      </c>
      <c r="H152" s="3">
        <v>14</v>
      </c>
      <c r="I152" s="3">
        <v>3</v>
      </c>
      <c r="J152" s="2">
        <v>0</v>
      </c>
      <c r="K152">
        <f t="shared" si="5"/>
        <v>0</v>
      </c>
      <c r="L152" t="str">
        <f t="shared" si="6"/>
        <v/>
      </c>
    </row>
    <row r="153" spans="1:12" x14ac:dyDescent="0.5">
      <c r="A153">
        <v>153</v>
      </c>
      <c r="B153" s="2">
        <v>0</v>
      </c>
      <c r="G153" s="3">
        <v>152</v>
      </c>
      <c r="H153" s="3">
        <v>14</v>
      </c>
      <c r="I153" s="3">
        <v>4</v>
      </c>
      <c r="J153" s="2">
        <v>0</v>
      </c>
      <c r="K153">
        <f t="shared" si="5"/>
        <v>0</v>
      </c>
      <c r="L153" t="str">
        <f t="shared" si="6"/>
        <v/>
      </c>
    </row>
    <row r="154" spans="1:12" x14ac:dyDescent="0.5">
      <c r="A154">
        <v>154</v>
      </c>
      <c r="B154" s="2">
        <v>0</v>
      </c>
      <c r="G154" s="3">
        <v>153</v>
      </c>
      <c r="H154" s="3">
        <v>14</v>
      </c>
      <c r="I154" s="3">
        <v>5</v>
      </c>
      <c r="J154" s="2">
        <v>0</v>
      </c>
      <c r="K154">
        <f t="shared" si="5"/>
        <v>0</v>
      </c>
      <c r="L154" t="str">
        <f t="shared" si="6"/>
        <v/>
      </c>
    </row>
    <row r="155" spans="1:12" x14ac:dyDescent="0.5">
      <c r="A155">
        <v>155</v>
      </c>
      <c r="B155" s="2">
        <v>0</v>
      </c>
      <c r="G155" s="3">
        <v>154</v>
      </c>
      <c r="H155" s="3">
        <v>14</v>
      </c>
      <c r="I155" s="3">
        <v>6</v>
      </c>
      <c r="J155" s="2">
        <v>0</v>
      </c>
      <c r="K155">
        <f t="shared" si="5"/>
        <v>0</v>
      </c>
      <c r="L155" t="str">
        <f t="shared" si="6"/>
        <v/>
      </c>
    </row>
    <row r="156" spans="1:12" x14ac:dyDescent="0.5">
      <c r="A156">
        <v>156</v>
      </c>
      <c r="B156" s="2">
        <v>0</v>
      </c>
      <c r="G156" s="3">
        <v>155</v>
      </c>
      <c r="H156" s="3">
        <v>14</v>
      </c>
      <c r="I156" s="3">
        <v>7</v>
      </c>
      <c r="J156" s="2">
        <v>0</v>
      </c>
      <c r="K156">
        <f t="shared" si="5"/>
        <v>0</v>
      </c>
      <c r="L156" t="str">
        <f t="shared" si="6"/>
        <v/>
      </c>
    </row>
    <row r="157" spans="1:12" x14ac:dyDescent="0.5">
      <c r="A157">
        <v>157</v>
      </c>
      <c r="B157" s="2">
        <v>187.83539999999999</v>
      </c>
      <c r="G157" s="3">
        <v>156</v>
      </c>
      <c r="H157" s="3">
        <v>14</v>
      </c>
      <c r="I157" s="3">
        <v>8</v>
      </c>
      <c r="J157" s="2">
        <v>0</v>
      </c>
      <c r="K157">
        <f t="shared" si="5"/>
        <v>0</v>
      </c>
      <c r="L157" t="str">
        <f t="shared" si="6"/>
        <v/>
      </c>
    </row>
    <row r="158" spans="1:12" x14ac:dyDescent="0.5">
      <c r="A158">
        <v>158</v>
      </c>
      <c r="B158" s="2">
        <v>236.30860000000001</v>
      </c>
      <c r="G158" s="3">
        <v>157</v>
      </c>
      <c r="H158" s="3">
        <v>14</v>
      </c>
      <c r="I158" s="3">
        <v>9</v>
      </c>
      <c r="J158" s="2">
        <v>187.83539999999999</v>
      </c>
      <c r="K158">
        <f t="shared" si="5"/>
        <v>0</v>
      </c>
      <c r="L158" t="str">
        <f t="shared" si="6"/>
        <v/>
      </c>
    </row>
    <row r="159" spans="1:12" x14ac:dyDescent="0.5">
      <c r="A159">
        <v>159</v>
      </c>
      <c r="B159" s="2">
        <v>674.62549999999999</v>
      </c>
      <c r="G159" s="3">
        <v>158</v>
      </c>
      <c r="H159" s="3">
        <v>15</v>
      </c>
      <c r="I159" s="3">
        <v>1</v>
      </c>
      <c r="J159" s="2">
        <v>236.30860000000001</v>
      </c>
      <c r="K159">
        <f t="shared" si="5"/>
        <v>1</v>
      </c>
      <c r="L159">
        <f t="shared" si="6"/>
        <v>157</v>
      </c>
    </row>
    <row r="160" spans="1:12" x14ac:dyDescent="0.5">
      <c r="A160">
        <v>160</v>
      </c>
      <c r="B160" s="2">
        <v>674.62549999999999</v>
      </c>
      <c r="G160" s="3">
        <v>159</v>
      </c>
      <c r="H160" s="3">
        <v>16</v>
      </c>
      <c r="I160" s="3">
        <v>1</v>
      </c>
      <c r="J160" s="2">
        <v>674.62549999999999</v>
      </c>
      <c r="K160">
        <f t="shared" si="5"/>
        <v>1</v>
      </c>
      <c r="L160">
        <f t="shared" si="6"/>
        <v>158</v>
      </c>
    </row>
    <row r="161" spans="1:12" x14ac:dyDescent="0.5">
      <c r="A161">
        <v>161</v>
      </c>
      <c r="B161" s="2">
        <v>0</v>
      </c>
      <c r="G161" s="3">
        <v>160</v>
      </c>
      <c r="H161" s="3">
        <v>16</v>
      </c>
      <c r="I161" s="3">
        <v>2</v>
      </c>
      <c r="J161" s="2">
        <v>674.62549999999999</v>
      </c>
      <c r="K161">
        <f t="shared" si="5"/>
        <v>0</v>
      </c>
      <c r="L161" t="str">
        <f t="shared" si="6"/>
        <v/>
      </c>
    </row>
    <row r="162" spans="1:12" x14ac:dyDescent="0.5">
      <c r="A162">
        <v>162</v>
      </c>
      <c r="B162" s="2">
        <v>0</v>
      </c>
      <c r="G162" s="3">
        <v>161</v>
      </c>
      <c r="H162" s="3">
        <v>17</v>
      </c>
      <c r="I162" s="3">
        <v>1</v>
      </c>
      <c r="J162" s="2">
        <v>0</v>
      </c>
      <c r="K162">
        <f t="shared" si="5"/>
        <v>1</v>
      </c>
      <c r="L162">
        <f t="shared" si="6"/>
        <v>160</v>
      </c>
    </row>
    <row r="163" spans="1:12" x14ac:dyDescent="0.5">
      <c r="A163">
        <v>163</v>
      </c>
      <c r="B163" s="2">
        <v>0</v>
      </c>
      <c r="G163" s="3">
        <v>162</v>
      </c>
      <c r="H163" s="3">
        <v>17</v>
      </c>
      <c r="I163" s="3">
        <v>2</v>
      </c>
      <c r="J163" s="2">
        <v>0</v>
      </c>
      <c r="K163">
        <f t="shared" si="5"/>
        <v>0</v>
      </c>
      <c r="L163" t="str">
        <f t="shared" si="6"/>
        <v/>
      </c>
    </row>
    <row r="164" spans="1:12" x14ac:dyDescent="0.5">
      <c r="A164">
        <v>164</v>
      </c>
      <c r="B164" s="2">
        <v>0</v>
      </c>
      <c r="G164" s="3">
        <v>163</v>
      </c>
      <c r="H164" s="3">
        <v>17</v>
      </c>
      <c r="I164" s="3">
        <v>3</v>
      </c>
      <c r="J164" s="2">
        <v>0</v>
      </c>
      <c r="K164">
        <f t="shared" si="5"/>
        <v>0</v>
      </c>
      <c r="L164" t="str">
        <f t="shared" si="6"/>
        <v/>
      </c>
    </row>
    <row r="165" spans="1:12" x14ac:dyDescent="0.5">
      <c r="A165">
        <v>165</v>
      </c>
      <c r="B165" s="2">
        <v>0</v>
      </c>
      <c r="G165" s="3">
        <v>164</v>
      </c>
      <c r="H165" s="3">
        <v>17</v>
      </c>
      <c r="I165" s="3">
        <v>4</v>
      </c>
      <c r="J165" s="2">
        <v>0</v>
      </c>
      <c r="K165">
        <f t="shared" si="5"/>
        <v>0</v>
      </c>
      <c r="L165" t="str">
        <f t="shared" si="6"/>
        <v/>
      </c>
    </row>
    <row r="166" spans="1:12" x14ac:dyDescent="0.5">
      <c r="A166">
        <v>166</v>
      </c>
      <c r="B166" s="2">
        <v>0</v>
      </c>
      <c r="G166" s="3">
        <v>165</v>
      </c>
      <c r="H166" s="3">
        <v>17</v>
      </c>
      <c r="I166" s="3">
        <v>5</v>
      </c>
      <c r="J166" s="2">
        <v>0</v>
      </c>
      <c r="K166">
        <f t="shared" si="5"/>
        <v>0</v>
      </c>
      <c r="L166" t="str">
        <f t="shared" si="6"/>
        <v/>
      </c>
    </row>
    <row r="167" spans="1:12" x14ac:dyDescent="0.5">
      <c r="A167">
        <v>167</v>
      </c>
      <c r="B167" s="2">
        <v>0</v>
      </c>
      <c r="G167" s="3">
        <v>166</v>
      </c>
      <c r="H167" s="3">
        <v>17</v>
      </c>
      <c r="I167" s="3">
        <v>6</v>
      </c>
      <c r="J167" s="2">
        <v>0</v>
      </c>
      <c r="K167">
        <f t="shared" si="5"/>
        <v>0</v>
      </c>
      <c r="L167" t="str">
        <f t="shared" si="6"/>
        <v/>
      </c>
    </row>
    <row r="168" spans="1:12" x14ac:dyDescent="0.5">
      <c r="A168">
        <v>168</v>
      </c>
      <c r="B168" s="2">
        <v>0</v>
      </c>
      <c r="G168" s="3">
        <v>167</v>
      </c>
      <c r="H168" s="3">
        <v>17</v>
      </c>
      <c r="I168" s="3">
        <v>7</v>
      </c>
      <c r="J168" s="2">
        <v>0</v>
      </c>
      <c r="K168">
        <f t="shared" si="5"/>
        <v>0</v>
      </c>
      <c r="L168" t="str">
        <f t="shared" si="6"/>
        <v/>
      </c>
    </row>
    <row r="169" spans="1:12" x14ac:dyDescent="0.5">
      <c r="A169">
        <v>169</v>
      </c>
      <c r="B169" s="2">
        <v>0</v>
      </c>
      <c r="G169" s="3">
        <v>168</v>
      </c>
      <c r="H169" s="3">
        <v>17</v>
      </c>
      <c r="I169" s="3">
        <v>8</v>
      </c>
      <c r="J169" s="2">
        <v>0</v>
      </c>
      <c r="K169">
        <f t="shared" si="5"/>
        <v>0</v>
      </c>
      <c r="L169" t="str">
        <f t="shared" si="6"/>
        <v/>
      </c>
    </row>
    <row r="170" spans="1:12" x14ac:dyDescent="0.5">
      <c r="A170">
        <v>170</v>
      </c>
      <c r="B170" s="2">
        <v>0</v>
      </c>
      <c r="G170" s="3">
        <v>169</v>
      </c>
      <c r="H170" s="3">
        <v>17</v>
      </c>
      <c r="I170" s="3">
        <v>9</v>
      </c>
      <c r="J170" s="2">
        <v>0</v>
      </c>
      <c r="K170">
        <f t="shared" si="5"/>
        <v>0</v>
      </c>
      <c r="L170" t="str">
        <f t="shared" si="6"/>
        <v/>
      </c>
    </row>
    <row r="171" spans="1:12" x14ac:dyDescent="0.5">
      <c r="A171">
        <v>171</v>
      </c>
      <c r="B171" s="2">
        <v>0</v>
      </c>
      <c r="G171" s="3">
        <v>170</v>
      </c>
      <c r="H171" s="3">
        <v>17</v>
      </c>
      <c r="I171" s="3">
        <v>10</v>
      </c>
      <c r="J171" s="2">
        <v>0</v>
      </c>
      <c r="K171">
        <f t="shared" si="5"/>
        <v>0</v>
      </c>
      <c r="L171" t="str">
        <f t="shared" si="6"/>
        <v/>
      </c>
    </row>
    <row r="172" spans="1:12" x14ac:dyDescent="0.5">
      <c r="A172">
        <v>172</v>
      </c>
      <c r="B172" s="2">
        <v>0</v>
      </c>
      <c r="G172" s="3">
        <v>171</v>
      </c>
      <c r="H172" s="3">
        <v>17</v>
      </c>
      <c r="I172" s="3">
        <v>11</v>
      </c>
      <c r="J172" s="2">
        <v>0</v>
      </c>
      <c r="K172">
        <f t="shared" si="5"/>
        <v>0</v>
      </c>
      <c r="L172" t="str">
        <f t="shared" si="6"/>
        <v/>
      </c>
    </row>
    <row r="173" spans="1:12" x14ac:dyDescent="0.5">
      <c r="A173">
        <v>173</v>
      </c>
      <c r="B173" s="2">
        <v>0</v>
      </c>
      <c r="G173" s="3">
        <v>172</v>
      </c>
      <c r="H173" s="3">
        <v>17</v>
      </c>
      <c r="I173" s="3">
        <v>12</v>
      </c>
      <c r="J173" s="2">
        <v>0</v>
      </c>
      <c r="K173">
        <f t="shared" si="5"/>
        <v>0</v>
      </c>
      <c r="L173" t="str">
        <f t="shared" si="6"/>
        <v/>
      </c>
    </row>
    <row r="174" spans="1:12" x14ac:dyDescent="0.5">
      <c r="A174">
        <v>174</v>
      </c>
      <c r="B174" s="2">
        <v>0</v>
      </c>
      <c r="G174" s="3">
        <v>173</v>
      </c>
      <c r="H174" s="3">
        <v>17</v>
      </c>
      <c r="I174" s="3">
        <v>13</v>
      </c>
      <c r="J174" s="2">
        <v>0</v>
      </c>
      <c r="K174">
        <f t="shared" si="5"/>
        <v>0</v>
      </c>
      <c r="L174" t="str">
        <f t="shared" si="6"/>
        <v/>
      </c>
    </row>
    <row r="175" spans="1:12" x14ac:dyDescent="0.5">
      <c r="A175">
        <v>175</v>
      </c>
      <c r="B175" s="2">
        <v>10125.41</v>
      </c>
      <c r="G175" s="3">
        <v>174</v>
      </c>
      <c r="H175" s="3">
        <v>17</v>
      </c>
      <c r="I175" s="3">
        <v>14</v>
      </c>
      <c r="J175" s="2">
        <v>0</v>
      </c>
      <c r="K175">
        <f t="shared" si="5"/>
        <v>0</v>
      </c>
      <c r="L175" t="str">
        <f t="shared" si="6"/>
        <v/>
      </c>
    </row>
    <row r="176" spans="1:12" x14ac:dyDescent="0.5">
      <c r="A176">
        <v>176</v>
      </c>
      <c r="B176" s="2">
        <v>10187.92</v>
      </c>
      <c r="G176" s="3">
        <v>175</v>
      </c>
      <c r="H176" s="3">
        <v>18</v>
      </c>
      <c r="I176" s="3">
        <v>1</v>
      </c>
      <c r="J176" s="2">
        <v>10125.41</v>
      </c>
      <c r="K176">
        <f t="shared" si="5"/>
        <v>1</v>
      </c>
      <c r="L176">
        <f t="shared" si="6"/>
        <v>174</v>
      </c>
    </row>
    <row r="177" spans="1:12" x14ac:dyDescent="0.5">
      <c r="A177">
        <v>177</v>
      </c>
      <c r="B177" s="2">
        <v>10176.290000000001</v>
      </c>
      <c r="G177" s="3">
        <v>176</v>
      </c>
      <c r="H177" s="3">
        <v>18</v>
      </c>
      <c r="I177" s="3">
        <v>2</v>
      </c>
      <c r="J177" s="2">
        <v>10187.92</v>
      </c>
      <c r="K177">
        <f t="shared" si="5"/>
        <v>0</v>
      </c>
      <c r="L177" t="str">
        <f t="shared" si="6"/>
        <v/>
      </c>
    </row>
    <row r="178" spans="1:12" x14ac:dyDescent="0.5">
      <c r="A178">
        <v>178</v>
      </c>
      <c r="B178" s="2">
        <v>39.042290000000001</v>
      </c>
      <c r="G178" s="3">
        <v>177</v>
      </c>
      <c r="H178" s="3">
        <v>18</v>
      </c>
      <c r="I178" s="3">
        <v>3</v>
      </c>
      <c r="J178" s="2">
        <v>10176.290000000001</v>
      </c>
      <c r="K178">
        <f t="shared" si="5"/>
        <v>0</v>
      </c>
      <c r="L178" t="str">
        <f t="shared" si="6"/>
        <v/>
      </c>
    </row>
    <row r="179" spans="1:12" x14ac:dyDescent="0.5">
      <c r="A179">
        <v>179</v>
      </c>
      <c r="B179" s="2">
        <v>77.855689999999996</v>
      </c>
      <c r="G179" s="3">
        <v>178</v>
      </c>
      <c r="H179" s="3">
        <v>19</v>
      </c>
      <c r="I179" s="3">
        <v>1</v>
      </c>
      <c r="J179" s="2">
        <v>39.042290000000001</v>
      </c>
      <c r="K179">
        <f t="shared" si="5"/>
        <v>1</v>
      </c>
      <c r="L179">
        <f t="shared" si="6"/>
        <v>177</v>
      </c>
    </row>
    <row r="180" spans="1:12" x14ac:dyDescent="0.5">
      <c r="A180">
        <v>180</v>
      </c>
      <c r="B180" s="2">
        <v>11620.88</v>
      </c>
      <c r="G180" s="3">
        <v>179</v>
      </c>
      <c r="H180" s="3">
        <v>19</v>
      </c>
      <c r="I180" s="3">
        <v>2</v>
      </c>
      <c r="J180" s="2">
        <v>77.855689999999996</v>
      </c>
      <c r="K180">
        <f t="shared" si="5"/>
        <v>0</v>
      </c>
      <c r="L180" t="str">
        <f t="shared" si="6"/>
        <v/>
      </c>
    </row>
    <row r="181" spans="1:12" x14ac:dyDescent="0.5">
      <c r="A181">
        <v>181</v>
      </c>
      <c r="B181" s="2">
        <v>11580.38</v>
      </c>
      <c r="G181" s="3">
        <v>180</v>
      </c>
      <c r="H181" s="3">
        <v>20</v>
      </c>
      <c r="I181" s="3">
        <v>1</v>
      </c>
      <c r="J181" s="2">
        <v>11620.88</v>
      </c>
      <c r="K181">
        <f t="shared" si="5"/>
        <v>1</v>
      </c>
      <c r="L181">
        <f t="shared" si="6"/>
        <v>179</v>
      </c>
    </row>
    <row r="182" spans="1:12" x14ac:dyDescent="0.5">
      <c r="A182">
        <v>182</v>
      </c>
      <c r="B182" s="2">
        <v>11523.11</v>
      </c>
      <c r="G182" s="3">
        <v>181</v>
      </c>
      <c r="H182" s="3">
        <v>20</v>
      </c>
      <c r="I182" s="3">
        <v>2</v>
      </c>
      <c r="J182" s="2">
        <v>11580.38</v>
      </c>
      <c r="K182">
        <f t="shared" si="5"/>
        <v>0</v>
      </c>
      <c r="L182" t="str">
        <f t="shared" si="6"/>
        <v/>
      </c>
    </row>
    <row r="183" spans="1:12" x14ac:dyDescent="0.5">
      <c r="A183">
        <v>183</v>
      </c>
      <c r="B183" s="2">
        <v>11474.22</v>
      </c>
      <c r="G183" s="3">
        <v>182</v>
      </c>
      <c r="H183" s="3">
        <v>20</v>
      </c>
      <c r="I183" s="3">
        <v>3</v>
      </c>
      <c r="J183" s="2">
        <v>11523.11</v>
      </c>
      <c r="K183">
        <f t="shared" si="5"/>
        <v>0</v>
      </c>
      <c r="L183" t="str">
        <f t="shared" si="6"/>
        <v/>
      </c>
    </row>
    <row r="184" spans="1:12" x14ac:dyDescent="0.5">
      <c r="A184">
        <v>184</v>
      </c>
      <c r="B184" s="2">
        <v>11425.33</v>
      </c>
      <c r="G184" s="3">
        <v>183</v>
      </c>
      <c r="H184" s="3">
        <v>20</v>
      </c>
      <c r="I184" s="3">
        <v>4</v>
      </c>
      <c r="J184" s="2">
        <v>11474.22</v>
      </c>
      <c r="K184">
        <f t="shared" si="5"/>
        <v>0</v>
      </c>
      <c r="L184" t="str">
        <f t="shared" si="6"/>
        <v/>
      </c>
    </row>
    <row r="185" spans="1:12" x14ac:dyDescent="0.5">
      <c r="A185">
        <v>185</v>
      </c>
      <c r="B185" s="2">
        <v>11376.44</v>
      </c>
      <c r="G185" s="3">
        <v>184</v>
      </c>
      <c r="H185" s="3">
        <v>20</v>
      </c>
      <c r="I185" s="3">
        <v>5</v>
      </c>
      <c r="J185" s="2">
        <v>11425.33</v>
      </c>
      <c r="K185">
        <f t="shared" si="5"/>
        <v>0</v>
      </c>
      <c r="L185" t="str">
        <f t="shared" si="6"/>
        <v/>
      </c>
    </row>
    <row r="186" spans="1:12" x14ac:dyDescent="0.5">
      <c r="A186">
        <v>186</v>
      </c>
      <c r="B186" s="2">
        <v>64.535589999999999</v>
      </c>
      <c r="G186" s="3">
        <v>185</v>
      </c>
      <c r="H186" s="3">
        <v>20</v>
      </c>
      <c r="I186" s="3">
        <v>6</v>
      </c>
      <c r="J186" s="2">
        <v>11376.44</v>
      </c>
      <c r="K186">
        <f t="shared" si="5"/>
        <v>0</v>
      </c>
      <c r="L186" t="str">
        <f t="shared" si="6"/>
        <v/>
      </c>
    </row>
    <row r="187" spans="1:12" x14ac:dyDescent="0.5">
      <c r="A187">
        <v>187</v>
      </c>
      <c r="B187" s="2">
        <v>51.340539999999997</v>
      </c>
      <c r="G187" s="3">
        <v>186</v>
      </c>
      <c r="H187" s="3">
        <v>21</v>
      </c>
      <c r="I187" s="3">
        <v>1</v>
      </c>
      <c r="J187" s="2">
        <v>64.535589999999999</v>
      </c>
      <c r="K187">
        <f t="shared" si="5"/>
        <v>1</v>
      </c>
      <c r="L187">
        <f t="shared" si="6"/>
        <v>185</v>
      </c>
    </row>
    <row r="188" spans="1:12" x14ac:dyDescent="0.5">
      <c r="A188">
        <v>188</v>
      </c>
      <c r="B188" s="2">
        <v>51.51831</v>
      </c>
      <c r="G188" s="3">
        <v>187</v>
      </c>
      <c r="H188" s="3">
        <v>21</v>
      </c>
      <c r="I188" s="3">
        <v>2</v>
      </c>
      <c r="J188" s="2">
        <v>51.340539999999997</v>
      </c>
      <c r="K188">
        <f t="shared" si="5"/>
        <v>0</v>
      </c>
      <c r="L188" t="str">
        <f t="shared" si="6"/>
        <v/>
      </c>
    </row>
    <row r="189" spans="1:12" x14ac:dyDescent="0.5">
      <c r="A189">
        <v>189</v>
      </c>
      <c r="B189" s="2">
        <v>242.81200000000001</v>
      </c>
      <c r="G189" s="3">
        <v>188</v>
      </c>
      <c r="H189" s="3">
        <v>21</v>
      </c>
      <c r="I189" s="3">
        <v>3</v>
      </c>
      <c r="J189" s="2">
        <v>51.51831</v>
      </c>
      <c r="K189">
        <f t="shared" si="5"/>
        <v>0</v>
      </c>
      <c r="L189" t="str">
        <f t="shared" si="6"/>
        <v/>
      </c>
    </row>
    <row r="190" spans="1:12" x14ac:dyDescent="0.5">
      <c r="A190">
        <v>190</v>
      </c>
      <c r="B190" s="2">
        <v>239.27090000000001</v>
      </c>
      <c r="G190" s="3">
        <v>189</v>
      </c>
      <c r="H190" s="3">
        <v>21</v>
      </c>
      <c r="I190" s="3">
        <v>4</v>
      </c>
      <c r="J190" s="2">
        <v>242.81200000000001</v>
      </c>
      <c r="K190">
        <f t="shared" si="5"/>
        <v>0</v>
      </c>
      <c r="L190" t="str">
        <f t="shared" si="6"/>
        <v/>
      </c>
    </row>
    <row r="191" spans="1:12" x14ac:dyDescent="0.5">
      <c r="A191">
        <v>191</v>
      </c>
      <c r="B191" s="2">
        <v>63.744129999999998</v>
      </c>
      <c r="G191" s="3">
        <v>190</v>
      </c>
      <c r="H191" s="3">
        <v>21</v>
      </c>
      <c r="I191" s="3">
        <v>5</v>
      </c>
      <c r="J191" s="2">
        <v>239.27090000000001</v>
      </c>
      <c r="K191">
        <f t="shared" si="5"/>
        <v>0</v>
      </c>
      <c r="L191" t="str">
        <f t="shared" si="6"/>
        <v/>
      </c>
    </row>
    <row r="192" spans="1:12" x14ac:dyDescent="0.5">
      <c r="A192">
        <v>192</v>
      </c>
      <c r="B192" s="2">
        <v>107.2556</v>
      </c>
      <c r="G192" s="3">
        <v>191</v>
      </c>
      <c r="H192" s="3">
        <v>22</v>
      </c>
      <c r="I192" s="3">
        <v>1</v>
      </c>
      <c r="J192" s="2">
        <v>63.744129999999998</v>
      </c>
      <c r="K192">
        <f t="shared" si="5"/>
        <v>1</v>
      </c>
      <c r="L192">
        <f t="shared" si="6"/>
        <v>190</v>
      </c>
    </row>
    <row r="193" spans="1:12" x14ac:dyDescent="0.5">
      <c r="A193">
        <v>193</v>
      </c>
      <c r="B193" s="2">
        <v>0</v>
      </c>
      <c r="G193" s="3">
        <v>192</v>
      </c>
      <c r="H193" s="3">
        <v>22</v>
      </c>
      <c r="I193" s="3">
        <v>2</v>
      </c>
      <c r="J193" s="2">
        <v>107.2556</v>
      </c>
      <c r="K193">
        <f t="shared" si="5"/>
        <v>0</v>
      </c>
      <c r="L193" t="str">
        <f t="shared" si="6"/>
        <v/>
      </c>
    </row>
    <row r="194" spans="1:12" x14ac:dyDescent="0.5">
      <c r="A194">
        <v>194</v>
      </c>
      <c r="B194" s="2">
        <v>0</v>
      </c>
      <c r="G194" s="3">
        <v>193</v>
      </c>
      <c r="H194" s="3">
        <v>22</v>
      </c>
      <c r="I194" s="3">
        <v>3</v>
      </c>
      <c r="J194" s="2">
        <v>0</v>
      </c>
      <c r="K194">
        <f t="shared" si="5"/>
        <v>0</v>
      </c>
      <c r="L194" t="str">
        <f t="shared" si="6"/>
        <v/>
      </c>
    </row>
    <row r="195" spans="1:12" x14ac:dyDescent="0.5">
      <c r="A195">
        <v>195</v>
      </c>
      <c r="B195" s="2">
        <v>0</v>
      </c>
      <c r="G195" s="3">
        <v>194</v>
      </c>
      <c r="H195" s="3">
        <v>22</v>
      </c>
      <c r="I195" s="3">
        <v>4</v>
      </c>
      <c r="J195" s="2">
        <v>0</v>
      </c>
      <c r="K195">
        <f t="shared" si="5"/>
        <v>0</v>
      </c>
      <c r="L195" t="str">
        <f t="shared" si="6"/>
        <v/>
      </c>
    </row>
    <row r="196" spans="1:12" x14ac:dyDescent="0.5">
      <c r="A196">
        <v>196</v>
      </c>
      <c r="B196" s="2">
        <v>0</v>
      </c>
      <c r="G196" s="3">
        <v>195</v>
      </c>
      <c r="H196" s="3">
        <v>22</v>
      </c>
      <c r="I196" s="3">
        <v>5</v>
      </c>
      <c r="J196" s="2">
        <v>0</v>
      </c>
      <c r="K196">
        <f t="shared" si="5"/>
        <v>0</v>
      </c>
      <c r="L196" t="str">
        <f t="shared" si="6"/>
        <v/>
      </c>
    </row>
    <row r="197" spans="1:12" x14ac:dyDescent="0.5">
      <c r="A197">
        <v>197</v>
      </c>
      <c r="B197" s="2">
        <v>389.38060000000002</v>
      </c>
      <c r="G197" s="3">
        <v>196</v>
      </c>
      <c r="H197" s="3">
        <v>22</v>
      </c>
      <c r="I197" s="3">
        <v>6</v>
      </c>
      <c r="J197" s="2">
        <v>0</v>
      </c>
      <c r="K197">
        <f t="shared" si="5"/>
        <v>0</v>
      </c>
      <c r="L197" t="str">
        <f t="shared" si="6"/>
        <v/>
      </c>
    </row>
    <row r="198" spans="1:12" x14ac:dyDescent="0.5">
      <c r="A198">
        <v>198</v>
      </c>
      <c r="B198" s="2">
        <v>388.56909999999999</v>
      </c>
      <c r="G198" s="3">
        <v>197</v>
      </c>
      <c r="H198" s="3">
        <v>23</v>
      </c>
      <c r="I198" s="3">
        <v>1</v>
      </c>
      <c r="J198" s="2">
        <v>389.38060000000002</v>
      </c>
      <c r="K198">
        <f t="shared" si="5"/>
        <v>1</v>
      </c>
      <c r="L198">
        <f t="shared" si="6"/>
        <v>196</v>
      </c>
    </row>
    <row r="199" spans="1:12" x14ac:dyDescent="0.5">
      <c r="A199">
        <v>199</v>
      </c>
      <c r="B199" s="2">
        <v>502.08890000000002</v>
      </c>
      <c r="G199" s="3">
        <v>198</v>
      </c>
      <c r="H199" s="3">
        <v>23</v>
      </c>
      <c r="I199" s="3">
        <v>2</v>
      </c>
      <c r="J199" s="2">
        <v>388.56909999999999</v>
      </c>
      <c r="K199">
        <f t="shared" si="5"/>
        <v>0</v>
      </c>
      <c r="L199" t="str">
        <f t="shared" si="6"/>
        <v/>
      </c>
    </row>
    <row r="200" spans="1:12" x14ac:dyDescent="0.5">
      <c r="A200">
        <v>200</v>
      </c>
      <c r="B200" s="2">
        <v>551.86519999999996</v>
      </c>
      <c r="G200" s="3">
        <v>199</v>
      </c>
      <c r="H200" s="3">
        <v>23</v>
      </c>
      <c r="I200" s="3">
        <v>3</v>
      </c>
      <c r="J200" s="2">
        <v>502.08890000000002</v>
      </c>
      <c r="K200">
        <f>H200-H199</f>
        <v>0</v>
      </c>
      <c r="L200" t="str">
        <f>IF(K200=1,G200-1,"")</f>
        <v/>
      </c>
    </row>
    <row r="201" spans="1:12" x14ac:dyDescent="0.5">
      <c r="A201">
        <v>201</v>
      </c>
      <c r="B201" s="2">
        <v>574.13459999999998</v>
      </c>
      <c r="G201" s="3">
        <v>200</v>
      </c>
      <c r="H201" s="3">
        <v>23</v>
      </c>
      <c r="I201" s="3">
        <v>4</v>
      </c>
      <c r="J201" s="2">
        <v>551.86519999999996</v>
      </c>
      <c r="K201">
        <f>H201-H200</f>
        <v>0</v>
      </c>
      <c r="L201" t="str">
        <f>IF(K201=1,G201-1,"")</f>
        <v/>
      </c>
    </row>
    <row r="202" spans="1:12" x14ac:dyDescent="0.5">
      <c r="G202" s="3">
        <v>201</v>
      </c>
      <c r="H202" s="3">
        <v>23</v>
      </c>
      <c r="I202" s="3">
        <v>5</v>
      </c>
      <c r="J202" s="2">
        <v>574.13459999999998</v>
      </c>
      <c r="K202">
        <f>H202-H201</f>
        <v>0</v>
      </c>
      <c r="L202" t="str">
        <f>IF(K202=1,G202-1,"")</f>
        <v/>
      </c>
    </row>
    <row r="203" spans="1:12" x14ac:dyDescent="0.5">
      <c r="K203">
        <f>H203-H202</f>
        <v>-23</v>
      </c>
      <c r="L203">
        <v>201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workbookViewId="0">
      <selection sqref="A1:CA1048576"/>
    </sheetView>
  </sheetViews>
  <sheetFormatPr defaultRowHeight="14.35" x14ac:dyDescent="0.5"/>
  <cols>
    <col min="1" max="75" width="1.76171875" bestFit="1" customWidth="1"/>
    <col min="76" max="76" width="2.3515625" bestFit="1" customWidth="1"/>
    <col min="77" max="79" width="1.76171875" bestFit="1" customWidth="1"/>
  </cols>
  <sheetData>
    <row r="1" spans="1:79" x14ac:dyDescent="0.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1</v>
      </c>
      <c r="BA1">
        <v>1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1</v>
      </c>
      <c r="BB2">
        <v>1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</v>
      </c>
      <c r="BA4">
        <v>1</v>
      </c>
      <c r="BB4">
        <v>1</v>
      </c>
      <c r="BC4">
        <v>1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0</v>
      </c>
      <c r="BI6">
        <v>0</v>
      </c>
      <c r="BJ6">
        <v>0</v>
      </c>
      <c r="BK6">
        <v>0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1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1</v>
      </c>
      <c r="AQ12">
        <v>1</v>
      </c>
      <c r="AR12">
        <v>0</v>
      </c>
      <c r="AS12">
        <v>0</v>
      </c>
      <c r="AT12">
        <v>0</v>
      </c>
      <c r="AU12">
        <v>0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x14ac:dyDescent="0.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x14ac:dyDescent="0.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x14ac:dyDescent="0.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U19">
        <v>1</v>
      </c>
      <c r="BV19">
        <v>1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x14ac:dyDescent="0.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x14ac:dyDescent="0.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  <c r="BX21">
        <v>0</v>
      </c>
      <c r="BY21">
        <v>0</v>
      </c>
      <c r="BZ21">
        <v>0</v>
      </c>
      <c r="CA21">
        <v>0</v>
      </c>
    </row>
    <row r="22" spans="1:79" x14ac:dyDescent="0.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U22">
        <v>1</v>
      </c>
      <c r="BV22">
        <v>1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x14ac:dyDescent="0.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x14ac:dyDescent="0.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x14ac:dyDescent="0.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x14ac:dyDescent="0.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x14ac:dyDescent="0.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1</v>
      </c>
      <c r="BT29">
        <v>1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x14ac:dyDescent="0.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x14ac:dyDescent="0.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1</v>
      </c>
      <c r="BT31">
        <v>1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x14ac:dyDescent="0.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x14ac:dyDescent="0.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x14ac:dyDescent="0.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x14ac:dyDescent="0.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0</v>
      </c>
      <c r="BY36">
        <v>0</v>
      </c>
      <c r="BZ36">
        <v>0</v>
      </c>
      <c r="CA36">
        <v>0</v>
      </c>
    </row>
    <row r="37" spans="1:79" x14ac:dyDescent="0.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0</v>
      </c>
      <c r="BY37">
        <v>0</v>
      </c>
      <c r="BZ37">
        <v>0</v>
      </c>
      <c r="CA37">
        <v>0</v>
      </c>
    </row>
    <row r="38" spans="1:79" x14ac:dyDescent="0.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0</v>
      </c>
      <c r="BZ38">
        <v>0</v>
      </c>
      <c r="CA38">
        <v>0</v>
      </c>
    </row>
    <row r="39" spans="1:79" x14ac:dyDescent="0.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1</v>
      </c>
      <c r="BX39">
        <v>-1</v>
      </c>
      <c r="BY39">
        <v>0</v>
      </c>
      <c r="BZ39">
        <v>0</v>
      </c>
      <c r="CA39">
        <v>0</v>
      </c>
    </row>
    <row r="40" spans="1:79" x14ac:dyDescent="0.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-1</v>
      </c>
      <c r="BY40">
        <v>0</v>
      </c>
      <c r="BZ40">
        <v>0</v>
      </c>
      <c r="CA40">
        <v>0</v>
      </c>
    </row>
    <row r="41" spans="1:79" x14ac:dyDescent="0.5">
      <c r="A41">
        <v>0</v>
      </c>
      <c r="B41">
        <v>0</v>
      </c>
      <c r="C41">
        <v>0</v>
      </c>
      <c r="D41">
        <v>0</v>
      </c>
      <c r="E41">
        <v>0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0</v>
      </c>
      <c r="BY41">
        <v>0</v>
      </c>
      <c r="BZ41">
        <v>0</v>
      </c>
      <c r="CA41">
        <v>0</v>
      </c>
    </row>
    <row r="42" spans="1:79" x14ac:dyDescent="0.5">
      <c r="A42">
        <v>0</v>
      </c>
      <c r="B42">
        <v>0</v>
      </c>
      <c r="C42">
        <v>0</v>
      </c>
      <c r="D42">
        <v>0</v>
      </c>
      <c r="E42">
        <v>0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0</v>
      </c>
      <c r="BY42">
        <v>0</v>
      </c>
      <c r="BZ42">
        <v>0</v>
      </c>
      <c r="CA42">
        <v>0</v>
      </c>
    </row>
    <row r="43" spans="1:79" x14ac:dyDescent="0.5">
      <c r="A43">
        <v>0</v>
      </c>
      <c r="B43">
        <v>0</v>
      </c>
      <c r="C43">
        <v>0</v>
      </c>
      <c r="D43">
        <v>0</v>
      </c>
      <c r="E43">
        <v>0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  <c r="BT43">
        <v>1</v>
      </c>
      <c r="BU43">
        <v>1</v>
      </c>
      <c r="BV43">
        <v>1</v>
      </c>
      <c r="BW43">
        <v>1</v>
      </c>
      <c r="BX43">
        <v>0</v>
      </c>
      <c r="BY43">
        <v>0</v>
      </c>
      <c r="BZ43">
        <v>0</v>
      </c>
      <c r="CA43">
        <v>0</v>
      </c>
    </row>
    <row r="44" spans="1:79" x14ac:dyDescent="0.5">
      <c r="A44">
        <v>0</v>
      </c>
      <c r="B44">
        <v>0</v>
      </c>
      <c r="C44">
        <v>0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0</v>
      </c>
      <c r="BY44">
        <v>0</v>
      </c>
      <c r="BZ44">
        <v>0</v>
      </c>
      <c r="CA44">
        <v>0</v>
      </c>
    </row>
    <row r="45" spans="1:79" x14ac:dyDescent="0.5">
      <c r="A45">
        <v>0</v>
      </c>
      <c r="B45">
        <v>0</v>
      </c>
      <c r="C45">
        <v>0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0</v>
      </c>
      <c r="BY45">
        <v>0</v>
      </c>
      <c r="BZ45">
        <v>0</v>
      </c>
      <c r="CA45">
        <v>0</v>
      </c>
    </row>
    <row r="46" spans="1:79" x14ac:dyDescent="0.5">
      <c r="A46">
        <v>0</v>
      </c>
      <c r="B46">
        <v>0</v>
      </c>
      <c r="C46">
        <v>0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0</v>
      </c>
      <c r="BY46">
        <v>0</v>
      </c>
      <c r="BZ46">
        <v>0</v>
      </c>
      <c r="CA46">
        <v>0</v>
      </c>
    </row>
    <row r="47" spans="1:79" x14ac:dyDescent="0.5">
      <c r="A47">
        <v>0</v>
      </c>
      <c r="B47">
        <v>0</v>
      </c>
      <c r="C47">
        <v>0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0</v>
      </c>
      <c r="BY47">
        <v>0</v>
      </c>
      <c r="BZ47">
        <v>0</v>
      </c>
      <c r="CA47">
        <v>0</v>
      </c>
    </row>
    <row r="48" spans="1:79" x14ac:dyDescent="0.5">
      <c r="A48">
        <v>0</v>
      </c>
      <c r="B48">
        <v>0</v>
      </c>
      <c r="C48">
        <v>0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0</v>
      </c>
      <c r="BZ48">
        <v>0</v>
      </c>
      <c r="CA48">
        <v>0</v>
      </c>
    </row>
    <row r="49" spans="1:79" x14ac:dyDescent="0.5">
      <c r="A49">
        <v>0</v>
      </c>
      <c r="B49">
        <v>0</v>
      </c>
      <c r="C49">
        <v>0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</v>
      </c>
      <c r="BS49">
        <v>1</v>
      </c>
      <c r="BT49">
        <v>1</v>
      </c>
      <c r="BU49">
        <v>1</v>
      </c>
      <c r="BV49">
        <v>1</v>
      </c>
      <c r="BW49">
        <v>1</v>
      </c>
      <c r="BX49">
        <v>1</v>
      </c>
      <c r="BY49">
        <v>0</v>
      </c>
      <c r="BZ49">
        <v>0</v>
      </c>
      <c r="CA49">
        <v>0</v>
      </c>
    </row>
    <row r="50" spans="1:79" x14ac:dyDescent="0.5">
      <c r="A50">
        <v>0</v>
      </c>
      <c r="B50">
        <v>0</v>
      </c>
      <c r="C50">
        <v>0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0</v>
      </c>
      <c r="BZ50">
        <v>0</v>
      </c>
      <c r="CA50">
        <v>0</v>
      </c>
    </row>
    <row r="51" spans="1:79" x14ac:dyDescent="0.5">
      <c r="A51">
        <v>0</v>
      </c>
      <c r="B51">
        <v>0</v>
      </c>
      <c r="C51">
        <v>0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BN51">
        <v>1</v>
      </c>
      <c r="BO51">
        <v>1</v>
      </c>
      <c r="BP51">
        <v>1</v>
      </c>
      <c r="BQ51">
        <v>1</v>
      </c>
      <c r="BR51">
        <v>1</v>
      </c>
      <c r="BS51">
        <v>1</v>
      </c>
      <c r="BT51">
        <v>1</v>
      </c>
      <c r="BU51">
        <v>1</v>
      </c>
      <c r="BV51">
        <v>1</v>
      </c>
      <c r="BW51">
        <v>1</v>
      </c>
      <c r="BX51">
        <v>1</v>
      </c>
      <c r="BY51">
        <v>0</v>
      </c>
      <c r="BZ51">
        <v>0</v>
      </c>
      <c r="CA51">
        <v>0</v>
      </c>
    </row>
    <row r="52" spans="1:79" x14ac:dyDescent="0.5">
      <c r="A52">
        <v>0</v>
      </c>
      <c r="B52">
        <v>0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0</v>
      </c>
      <c r="BZ52">
        <v>0</v>
      </c>
      <c r="CA52">
        <v>0</v>
      </c>
    </row>
    <row r="53" spans="1:79" x14ac:dyDescent="0.5">
      <c r="A53">
        <v>0</v>
      </c>
      <c r="B53">
        <v>0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0</v>
      </c>
      <c r="CA53">
        <v>0</v>
      </c>
    </row>
    <row r="54" spans="1:79" x14ac:dyDescent="0.5">
      <c r="A54">
        <v>0</v>
      </c>
      <c r="B54">
        <v>0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0</v>
      </c>
      <c r="CA54">
        <v>0</v>
      </c>
    </row>
    <row r="55" spans="1:79" x14ac:dyDescent="0.5">
      <c r="A55">
        <v>0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0</v>
      </c>
      <c r="CA55">
        <v>0</v>
      </c>
    </row>
    <row r="56" spans="1:79" x14ac:dyDescent="0.5">
      <c r="A56">
        <v>0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0</v>
      </c>
      <c r="CA56">
        <v>0</v>
      </c>
    </row>
    <row r="57" spans="1:79" x14ac:dyDescent="0.5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0</v>
      </c>
      <c r="CA57">
        <v>0</v>
      </c>
    </row>
    <row r="58" spans="1:79" x14ac:dyDescent="0.5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0</v>
      </c>
      <c r="CA58">
        <v>0</v>
      </c>
    </row>
    <row r="59" spans="1:79" x14ac:dyDescent="0.5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0</v>
      </c>
    </row>
    <row r="60" spans="1:79" x14ac:dyDescent="0.5">
      <c r="A60">
        <v>0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0</v>
      </c>
      <c r="O60">
        <v>0</v>
      </c>
      <c r="P60">
        <v>0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</row>
    <row r="61" spans="1:79" x14ac:dyDescent="0.5">
      <c r="A61">
        <v>0</v>
      </c>
      <c r="B61">
        <v>0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</row>
    <row r="62" spans="1:79" x14ac:dyDescent="0.5">
      <c r="A62">
        <v>0</v>
      </c>
      <c r="B62">
        <v>0</v>
      </c>
      <c r="C62">
        <v>0</v>
      </c>
      <c r="D62">
        <v>1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</row>
    <row r="63" spans="1:79" x14ac:dyDescent="0.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1</v>
      </c>
      <c r="BV63">
        <v>1</v>
      </c>
      <c r="BW63">
        <v>1</v>
      </c>
      <c r="BX63">
        <v>1</v>
      </c>
      <c r="BY63">
        <v>1</v>
      </c>
      <c r="BZ63">
        <v>1</v>
      </c>
      <c r="CA63">
        <v>1</v>
      </c>
    </row>
    <row r="64" spans="1:79" x14ac:dyDescent="0.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  <c r="BO64">
        <v>1</v>
      </c>
      <c r="BP64">
        <v>1</v>
      </c>
      <c r="BQ64">
        <v>1</v>
      </c>
      <c r="BR64">
        <v>1</v>
      </c>
      <c r="BS64">
        <v>1</v>
      </c>
      <c r="BT64">
        <v>1</v>
      </c>
      <c r="BU64">
        <v>1</v>
      </c>
      <c r="BV64">
        <v>1</v>
      </c>
      <c r="BW64">
        <v>1</v>
      </c>
      <c r="BX64">
        <v>1</v>
      </c>
      <c r="BY64">
        <v>1</v>
      </c>
      <c r="BZ64">
        <v>1</v>
      </c>
      <c r="CA64">
        <v>1</v>
      </c>
    </row>
    <row r="65" spans="1:79" x14ac:dyDescent="0.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0</v>
      </c>
      <c r="AU65">
        <v>0</v>
      </c>
      <c r="AV65">
        <v>0</v>
      </c>
      <c r="AW65">
        <v>0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BN65">
        <v>1</v>
      </c>
      <c r="BO65">
        <v>1</v>
      </c>
      <c r="BP65">
        <v>1</v>
      </c>
      <c r="BQ65">
        <v>1</v>
      </c>
      <c r="BR65">
        <v>1</v>
      </c>
      <c r="BS65">
        <v>1</v>
      </c>
      <c r="BT65">
        <v>1</v>
      </c>
      <c r="BU65">
        <v>1</v>
      </c>
      <c r="BV65">
        <v>1</v>
      </c>
      <c r="BW65">
        <v>1</v>
      </c>
      <c r="BX65">
        <v>1</v>
      </c>
      <c r="BY65">
        <v>1</v>
      </c>
      <c r="BZ65">
        <v>1</v>
      </c>
      <c r="CA65">
        <v>1</v>
      </c>
    </row>
    <row r="66" spans="1:79" x14ac:dyDescent="0.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1</v>
      </c>
      <c r="AK66">
        <v>1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</row>
    <row r="67" spans="1:79" x14ac:dyDescent="0.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  <c r="BQ67">
        <v>1</v>
      </c>
      <c r="BR67">
        <v>1</v>
      </c>
      <c r="BS67">
        <v>1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1</v>
      </c>
      <c r="BK70">
        <v>1</v>
      </c>
      <c r="BL70">
        <v>1</v>
      </c>
      <c r="BM70">
        <v>1</v>
      </c>
      <c r="BN70">
        <v>1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1</v>
      </c>
      <c r="BL71">
        <v>1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BE1" workbookViewId="0">
      <selection sqref="A1:CA1048576"/>
    </sheetView>
  </sheetViews>
  <sheetFormatPr defaultRowHeight="14.35" x14ac:dyDescent="0.5"/>
  <cols>
    <col min="1" max="75" width="1.76171875" bestFit="1" customWidth="1"/>
    <col min="76" max="76" width="2.3515625" bestFit="1" customWidth="1"/>
    <col min="77" max="79" width="1.76171875" bestFit="1" customWidth="1"/>
  </cols>
  <sheetData>
    <row r="1" spans="1:79" x14ac:dyDescent="0.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1</v>
      </c>
      <c r="BA1">
        <v>1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1</v>
      </c>
      <c r="BB2">
        <v>1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</v>
      </c>
      <c r="BA4">
        <v>1</v>
      </c>
      <c r="BB4">
        <v>1</v>
      </c>
      <c r="BC4">
        <v>1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0</v>
      </c>
      <c r="BI6">
        <v>0</v>
      </c>
      <c r="BJ6">
        <v>0</v>
      </c>
      <c r="BK6">
        <v>0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1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1</v>
      </c>
      <c r="AQ12">
        <v>1</v>
      </c>
      <c r="AR12">
        <v>0</v>
      </c>
      <c r="AS12">
        <v>0</v>
      </c>
      <c r="AT12">
        <v>0</v>
      </c>
      <c r="AU12">
        <v>0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U14">
        <v>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x14ac:dyDescent="0.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x14ac:dyDescent="0.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x14ac:dyDescent="0.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U19">
        <v>1</v>
      </c>
      <c r="BV19">
        <v>1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x14ac:dyDescent="0.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x14ac:dyDescent="0.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  <c r="BX21">
        <v>0</v>
      </c>
      <c r="BY21">
        <v>0</v>
      </c>
      <c r="BZ21">
        <v>0</v>
      </c>
      <c r="CA21">
        <v>0</v>
      </c>
    </row>
    <row r="22" spans="1:79" x14ac:dyDescent="0.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U22">
        <v>1</v>
      </c>
      <c r="BV22">
        <v>1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x14ac:dyDescent="0.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x14ac:dyDescent="0.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x14ac:dyDescent="0.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x14ac:dyDescent="0.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x14ac:dyDescent="0.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1</v>
      </c>
      <c r="BT29">
        <v>1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x14ac:dyDescent="0.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x14ac:dyDescent="0.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1</v>
      </c>
      <c r="BT31">
        <v>1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x14ac:dyDescent="0.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x14ac:dyDescent="0.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x14ac:dyDescent="0.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x14ac:dyDescent="0.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0</v>
      </c>
      <c r="BY36">
        <v>0</v>
      </c>
      <c r="BZ36">
        <v>0</v>
      </c>
      <c r="CA36">
        <v>0</v>
      </c>
    </row>
    <row r="37" spans="1:79" x14ac:dyDescent="0.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0</v>
      </c>
      <c r="BY37">
        <v>0</v>
      </c>
      <c r="BZ37">
        <v>0</v>
      </c>
      <c r="CA37">
        <v>0</v>
      </c>
    </row>
    <row r="38" spans="1:79" x14ac:dyDescent="0.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0</v>
      </c>
      <c r="BZ38">
        <v>0</v>
      </c>
      <c r="CA38">
        <v>0</v>
      </c>
    </row>
    <row r="39" spans="1:79" x14ac:dyDescent="0.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1</v>
      </c>
      <c r="BX39">
        <v>-1</v>
      </c>
      <c r="BY39">
        <v>0</v>
      </c>
      <c r="BZ39">
        <v>0</v>
      </c>
      <c r="CA39">
        <v>0</v>
      </c>
    </row>
    <row r="40" spans="1:79" x14ac:dyDescent="0.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-1</v>
      </c>
      <c r="BY40">
        <v>0</v>
      </c>
      <c r="BZ40">
        <v>0</v>
      </c>
      <c r="CA40">
        <v>0</v>
      </c>
    </row>
    <row r="41" spans="1:79" x14ac:dyDescent="0.5">
      <c r="A41">
        <v>0</v>
      </c>
      <c r="B41">
        <v>0</v>
      </c>
      <c r="C41">
        <v>0</v>
      </c>
      <c r="D41">
        <v>0</v>
      </c>
      <c r="E41">
        <v>0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0</v>
      </c>
      <c r="BY41">
        <v>0</v>
      </c>
      <c r="BZ41">
        <v>0</v>
      </c>
      <c r="CA41">
        <v>0</v>
      </c>
    </row>
    <row r="42" spans="1:79" x14ac:dyDescent="0.5">
      <c r="A42">
        <v>0</v>
      </c>
      <c r="B42">
        <v>0</v>
      </c>
      <c r="C42">
        <v>0</v>
      </c>
      <c r="D42">
        <v>0</v>
      </c>
      <c r="E42">
        <v>0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0</v>
      </c>
      <c r="BY42">
        <v>0</v>
      </c>
      <c r="BZ42">
        <v>0</v>
      </c>
      <c r="CA42">
        <v>0</v>
      </c>
    </row>
    <row r="43" spans="1:79" x14ac:dyDescent="0.5">
      <c r="A43">
        <v>0</v>
      </c>
      <c r="B43">
        <v>0</v>
      </c>
      <c r="C43">
        <v>0</v>
      </c>
      <c r="D43">
        <v>0</v>
      </c>
      <c r="E43">
        <v>0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  <c r="BT43">
        <v>1</v>
      </c>
      <c r="BU43">
        <v>1</v>
      </c>
      <c r="BV43">
        <v>1</v>
      </c>
      <c r="BW43">
        <v>1</v>
      </c>
      <c r="BX43">
        <v>0</v>
      </c>
      <c r="BY43">
        <v>0</v>
      </c>
      <c r="BZ43">
        <v>0</v>
      </c>
      <c r="CA43">
        <v>0</v>
      </c>
    </row>
    <row r="44" spans="1:79" x14ac:dyDescent="0.5">
      <c r="A44">
        <v>0</v>
      </c>
      <c r="B44">
        <v>0</v>
      </c>
      <c r="C44">
        <v>0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0</v>
      </c>
      <c r="BY44">
        <v>0</v>
      </c>
      <c r="BZ44">
        <v>0</v>
      </c>
      <c r="CA44">
        <v>0</v>
      </c>
    </row>
    <row r="45" spans="1:79" x14ac:dyDescent="0.5">
      <c r="A45">
        <v>0</v>
      </c>
      <c r="B45">
        <v>0</v>
      </c>
      <c r="C45">
        <v>0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0</v>
      </c>
      <c r="BY45">
        <v>0</v>
      </c>
      <c r="BZ45">
        <v>0</v>
      </c>
      <c r="CA45">
        <v>0</v>
      </c>
    </row>
    <row r="46" spans="1:79" x14ac:dyDescent="0.5">
      <c r="A46">
        <v>0</v>
      </c>
      <c r="B46">
        <v>0</v>
      </c>
      <c r="C46">
        <v>0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0</v>
      </c>
      <c r="BY46">
        <v>0</v>
      </c>
      <c r="BZ46">
        <v>0</v>
      </c>
      <c r="CA46">
        <v>0</v>
      </c>
    </row>
    <row r="47" spans="1:79" x14ac:dyDescent="0.5">
      <c r="A47">
        <v>0</v>
      </c>
      <c r="B47">
        <v>0</v>
      </c>
      <c r="C47">
        <v>0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0</v>
      </c>
      <c r="BY47">
        <v>0</v>
      </c>
      <c r="BZ47">
        <v>0</v>
      </c>
      <c r="CA47">
        <v>0</v>
      </c>
    </row>
    <row r="48" spans="1:79" x14ac:dyDescent="0.5">
      <c r="A48">
        <v>0</v>
      </c>
      <c r="B48">
        <v>0</v>
      </c>
      <c r="C48">
        <v>0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0</v>
      </c>
      <c r="BZ48">
        <v>0</v>
      </c>
      <c r="CA48">
        <v>0</v>
      </c>
    </row>
    <row r="49" spans="1:79" x14ac:dyDescent="0.5">
      <c r="A49">
        <v>0</v>
      </c>
      <c r="B49">
        <v>0</v>
      </c>
      <c r="C49">
        <v>0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</v>
      </c>
      <c r="BS49">
        <v>1</v>
      </c>
      <c r="BT49">
        <v>1</v>
      </c>
      <c r="BU49">
        <v>1</v>
      </c>
      <c r="BV49">
        <v>1</v>
      </c>
      <c r="BW49">
        <v>1</v>
      </c>
      <c r="BX49">
        <v>1</v>
      </c>
      <c r="BY49">
        <v>0</v>
      </c>
      <c r="BZ49">
        <v>0</v>
      </c>
      <c r="CA49">
        <v>0</v>
      </c>
    </row>
    <row r="50" spans="1:79" x14ac:dyDescent="0.5">
      <c r="A50">
        <v>0</v>
      </c>
      <c r="B50">
        <v>0</v>
      </c>
      <c r="C50">
        <v>0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0</v>
      </c>
      <c r="BZ50">
        <v>0</v>
      </c>
      <c r="CA50">
        <v>0</v>
      </c>
    </row>
    <row r="51" spans="1:79" x14ac:dyDescent="0.5">
      <c r="A51">
        <v>0</v>
      </c>
      <c r="B51">
        <v>0</v>
      </c>
      <c r="C51">
        <v>0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BN51">
        <v>1</v>
      </c>
      <c r="BO51">
        <v>1</v>
      </c>
      <c r="BP51">
        <v>1</v>
      </c>
      <c r="BQ51">
        <v>1</v>
      </c>
      <c r="BR51">
        <v>1</v>
      </c>
      <c r="BS51">
        <v>1</v>
      </c>
      <c r="BT51">
        <v>1</v>
      </c>
      <c r="BU51">
        <v>1</v>
      </c>
      <c r="BV51">
        <v>1</v>
      </c>
      <c r="BW51">
        <v>1</v>
      </c>
      <c r="BX51">
        <v>1</v>
      </c>
      <c r="BY51">
        <v>0</v>
      </c>
      <c r="BZ51">
        <v>0</v>
      </c>
      <c r="CA51">
        <v>0</v>
      </c>
    </row>
    <row r="52" spans="1:79" x14ac:dyDescent="0.5">
      <c r="A52">
        <v>0</v>
      </c>
      <c r="B52">
        <v>0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0</v>
      </c>
      <c r="BZ52">
        <v>0</v>
      </c>
      <c r="CA52">
        <v>0</v>
      </c>
    </row>
    <row r="53" spans="1:79" x14ac:dyDescent="0.5">
      <c r="A53">
        <v>0</v>
      </c>
      <c r="B53">
        <v>0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0</v>
      </c>
      <c r="CA53">
        <v>0</v>
      </c>
    </row>
    <row r="54" spans="1:79" x14ac:dyDescent="0.5">
      <c r="A54">
        <v>0</v>
      </c>
      <c r="B54">
        <v>0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0</v>
      </c>
      <c r="CA54">
        <v>0</v>
      </c>
    </row>
    <row r="55" spans="1:79" x14ac:dyDescent="0.5">
      <c r="A55">
        <v>0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0</v>
      </c>
      <c r="CA55">
        <v>0</v>
      </c>
    </row>
    <row r="56" spans="1:79" x14ac:dyDescent="0.5">
      <c r="A56">
        <v>0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0</v>
      </c>
      <c r="CA56">
        <v>0</v>
      </c>
    </row>
    <row r="57" spans="1:79" x14ac:dyDescent="0.5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0</v>
      </c>
      <c r="CA57">
        <v>0</v>
      </c>
    </row>
    <row r="58" spans="1:79" x14ac:dyDescent="0.5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0</v>
      </c>
      <c r="CA58">
        <v>0</v>
      </c>
    </row>
    <row r="59" spans="1:79" x14ac:dyDescent="0.5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0</v>
      </c>
    </row>
    <row r="60" spans="1:79" x14ac:dyDescent="0.5">
      <c r="A60">
        <v>0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0</v>
      </c>
      <c r="O60">
        <v>0</v>
      </c>
      <c r="P60">
        <v>0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</row>
    <row r="61" spans="1:79" x14ac:dyDescent="0.5">
      <c r="A61">
        <v>0</v>
      </c>
      <c r="B61">
        <v>0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</row>
    <row r="62" spans="1:79" x14ac:dyDescent="0.5">
      <c r="A62">
        <v>0</v>
      </c>
      <c r="B62">
        <v>0</v>
      </c>
      <c r="C62">
        <v>0</v>
      </c>
      <c r="D62">
        <v>1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</row>
    <row r="63" spans="1:79" x14ac:dyDescent="0.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1</v>
      </c>
      <c r="BV63">
        <v>1</v>
      </c>
      <c r="BW63">
        <v>1</v>
      </c>
      <c r="BX63">
        <v>1</v>
      </c>
      <c r="BY63">
        <v>1</v>
      </c>
      <c r="BZ63">
        <v>1</v>
      </c>
      <c r="CA63">
        <v>1</v>
      </c>
    </row>
    <row r="64" spans="1:79" x14ac:dyDescent="0.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  <c r="BO64">
        <v>1</v>
      </c>
      <c r="BP64">
        <v>1</v>
      </c>
      <c r="BQ64">
        <v>1</v>
      </c>
      <c r="BR64">
        <v>1</v>
      </c>
      <c r="BS64">
        <v>1</v>
      </c>
      <c r="BT64">
        <v>1</v>
      </c>
      <c r="BU64">
        <v>1</v>
      </c>
      <c r="BV64">
        <v>1</v>
      </c>
      <c r="BW64">
        <v>1</v>
      </c>
      <c r="BX64">
        <v>1</v>
      </c>
      <c r="BY64">
        <v>1</v>
      </c>
      <c r="BZ64">
        <v>1</v>
      </c>
      <c r="CA64">
        <v>1</v>
      </c>
    </row>
    <row r="65" spans="1:79" x14ac:dyDescent="0.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0</v>
      </c>
      <c r="AU65">
        <v>0</v>
      </c>
      <c r="AV65">
        <v>0</v>
      </c>
      <c r="AW65">
        <v>0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BN65">
        <v>1</v>
      </c>
      <c r="BO65">
        <v>1</v>
      </c>
      <c r="BP65">
        <v>1</v>
      </c>
      <c r="BQ65">
        <v>1</v>
      </c>
      <c r="BR65">
        <v>1</v>
      </c>
      <c r="BS65">
        <v>1</v>
      </c>
      <c r="BT65">
        <v>1</v>
      </c>
      <c r="BU65">
        <v>1</v>
      </c>
      <c r="BV65">
        <v>1</v>
      </c>
      <c r="BW65">
        <v>1</v>
      </c>
      <c r="BX65">
        <v>1</v>
      </c>
      <c r="BY65">
        <v>1</v>
      </c>
      <c r="BZ65">
        <v>1</v>
      </c>
      <c r="CA65">
        <v>1</v>
      </c>
    </row>
    <row r="66" spans="1:79" x14ac:dyDescent="0.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1</v>
      </c>
      <c r="AK66">
        <v>1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</row>
    <row r="67" spans="1:79" x14ac:dyDescent="0.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  <c r="BQ67">
        <v>1</v>
      </c>
      <c r="BR67">
        <v>1</v>
      </c>
      <c r="BS67">
        <v>1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1</v>
      </c>
      <c r="BK70">
        <v>1</v>
      </c>
      <c r="BL70">
        <v>1</v>
      </c>
      <c r="BM70">
        <v>1</v>
      </c>
      <c r="BN70">
        <v>1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1</v>
      </c>
      <c r="BL71">
        <v>1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workbookViewId="0">
      <selection activeCell="B63" sqref="B63"/>
    </sheetView>
  </sheetViews>
  <sheetFormatPr defaultRowHeight="14.35" x14ac:dyDescent="0.5"/>
  <sheetData>
    <row r="1" spans="1:79" x14ac:dyDescent="0.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2173</v>
      </c>
      <c r="BA1">
        <v>2163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2171</v>
      </c>
      <c r="BA2">
        <v>2157</v>
      </c>
      <c r="BB2">
        <v>2132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2164</v>
      </c>
      <c r="BA3">
        <v>2149</v>
      </c>
      <c r="BB3">
        <v>2122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2157</v>
      </c>
      <c r="BA4">
        <v>2138</v>
      </c>
      <c r="BB4">
        <v>2121</v>
      </c>
      <c r="BC4">
        <v>2120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2151</v>
      </c>
      <c r="BA5">
        <v>2131</v>
      </c>
      <c r="BB5">
        <v>2120</v>
      </c>
      <c r="BC5">
        <v>2118</v>
      </c>
      <c r="BD5">
        <v>2118</v>
      </c>
      <c r="BE5">
        <v>2116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2149</v>
      </c>
      <c r="BA6">
        <v>2132</v>
      </c>
      <c r="BB6">
        <v>2121</v>
      </c>
      <c r="BC6">
        <v>2119</v>
      </c>
      <c r="BD6">
        <v>2116</v>
      </c>
      <c r="BE6">
        <v>2114</v>
      </c>
      <c r="BF6">
        <v>2116</v>
      </c>
      <c r="BG6">
        <v>2120</v>
      </c>
      <c r="BH6">
        <v>0</v>
      </c>
      <c r="BI6">
        <v>0</v>
      </c>
      <c r="BJ6">
        <v>0</v>
      </c>
      <c r="BK6">
        <v>0</v>
      </c>
      <c r="BL6">
        <v>2122</v>
      </c>
      <c r="BM6">
        <v>2124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2151</v>
      </c>
      <c r="BA7">
        <v>2136</v>
      </c>
      <c r="BB7">
        <v>2132</v>
      </c>
      <c r="BC7">
        <v>2120</v>
      </c>
      <c r="BD7">
        <v>2113</v>
      </c>
      <c r="BE7">
        <v>2111</v>
      </c>
      <c r="BF7">
        <v>2114</v>
      </c>
      <c r="BG7">
        <v>2119</v>
      </c>
      <c r="BH7">
        <v>2122</v>
      </c>
      <c r="BI7">
        <v>2126</v>
      </c>
      <c r="BJ7">
        <v>2124</v>
      </c>
      <c r="BK7">
        <v>2121</v>
      </c>
      <c r="BL7">
        <v>2119</v>
      </c>
      <c r="BM7">
        <v>2122</v>
      </c>
      <c r="BN7">
        <v>2123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2158</v>
      </c>
      <c r="BA8">
        <v>2146</v>
      </c>
      <c r="BB8">
        <v>2136</v>
      </c>
      <c r="BC8">
        <v>2120</v>
      </c>
      <c r="BD8">
        <v>2109</v>
      </c>
      <c r="BE8">
        <v>2109</v>
      </c>
      <c r="BF8">
        <v>2111</v>
      </c>
      <c r="BG8">
        <v>2117</v>
      </c>
      <c r="BH8">
        <v>2123</v>
      </c>
      <c r="BI8">
        <v>2126</v>
      </c>
      <c r="BJ8">
        <v>2125</v>
      </c>
      <c r="BK8">
        <v>2122</v>
      </c>
      <c r="BL8">
        <v>2117</v>
      </c>
      <c r="BM8">
        <v>2116</v>
      </c>
      <c r="BN8">
        <v>2117</v>
      </c>
      <c r="BO8">
        <v>2117</v>
      </c>
      <c r="BP8">
        <v>2118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2160</v>
      </c>
      <c r="AZ9">
        <v>2152</v>
      </c>
      <c r="BA9">
        <v>2141</v>
      </c>
      <c r="BB9">
        <v>2132</v>
      </c>
      <c r="BC9">
        <v>2121</v>
      </c>
      <c r="BD9">
        <v>2110</v>
      </c>
      <c r="BE9">
        <v>2106</v>
      </c>
      <c r="BF9">
        <v>2108</v>
      </c>
      <c r="BG9">
        <v>2110</v>
      </c>
      <c r="BH9">
        <v>2119</v>
      </c>
      <c r="BI9">
        <v>2125</v>
      </c>
      <c r="BJ9">
        <v>2125</v>
      </c>
      <c r="BK9">
        <v>2122</v>
      </c>
      <c r="BL9">
        <v>2116</v>
      </c>
      <c r="BM9">
        <v>2110</v>
      </c>
      <c r="BN9">
        <v>2108</v>
      </c>
      <c r="BO9">
        <v>2111</v>
      </c>
      <c r="BP9">
        <v>2116</v>
      </c>
      <c r="BQ9">
        <v>2120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2151</v>
      </c>
      <c r="AY10">
        <v>2154</v>
      </c>
      <c r="AZ10">
        <v>2147</v>
      </c>
      <c r="BA10">
        <v>2140</v>
      </c>
      <c r="BB10">
        <v>2130</v>
      </c>
      <c r="BC10">
        <v>2117</v>
      </c>
      <c r="BD10">
        <v>2111</v>
      </c>
      <c r="BE10">
        <v>2106</v>
      </c>
      <c r="BF10">
        <v>2107</v>
      </c>
      <c r="BG10">
        <v>2108</v>
      </c>
      <c r="BH10">
        <v>2115</v>
      </c>
      <c r="BI10">
        <v>2120</v>
      </c>
      <c r="BJ10">
        <v>2121</v>
      </c>
      <c r="BK10">
        <v>2119</v>
      </c>
      <c r="BL10">
        <v>2116</v>
      </c>
      <c r="BM10">
        <v>2111</v>
      </c>
      <c r="BN10">
        <v>2099</v>
      </c>
      <c r="BO10">
        <v>2106</v>
      </c>
      <c r="BP10">
        <v>2115</v>
      </c>
      <c r="BQ10">
        <v>2122</v>
      </c>
      <c r="BR10">
        <v>2127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2150</v>
      </c>
      <c r="AX11">
        <v>2148</v>
      </c>
      <c r="AY11">
        <v>2146</v>
      </c>
      <c r="AZ11">
        <v>2143</v>
      </c>
      <c r="BA11">
        <v>2139</v>
      </c>
      <c r="BB11">
        <v>2130</v>
      </c>
      <c r="BC11">
        <v>2118</v>
      </c>
      <c r="BD11">
        <v>2111</v>
      </c>
      <c r="BE11">
        <v>2106</v>
      </c>
      <c r="BF11">
        <v>2105</v>
      </c>
      <c r="BG11">
        <v>2105</v>
      </c>
      <c r="BH11">
        <v>2108</v>
      </c>
      <c r="BI11">
        <v>2112</v>
      </c>
      <c r="BJ11">
        <v>2112</v>
      </c>
      <c r="BK11">
        <v>2113</v>
      </c>
      <c r="BL11">
        <v>2112</v>
      </c>
      <c r="BM11">
        <v>2107</v>
      </c>
      <c r="BN11">
        <v>2097</v>
      </c>
      <c r="BO11">
        <v>2104</v>
      </c>
      <c r="BP11">
        <v>2112</v>
      </c>
      <c r="BQ11">
        <v>2119</v>
      </c>
      <c r="BR11">
        <v>2125</v>
      </c>
      <c r="BS11">
        <v>2130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2187</v>
      </c>
      <c r="AQ12">
        <v>2181</v>
      </c>
      <c r="AR12">
        <v>0</v>
      </c>
      <c r="AS12">
        <v>0</v>
      </c>
      <c r="AT12">
        <v>0</v>
      </c>
      <c r="AU12">
        <v>0</v>
      </c>
      <c r="AV12">
        <v>2156</v>
      </c>
      <c r="AW12">
        <v>2152</v>
      </c>
      <c r="AX12">
        <v>2146</v>
      </c>
      <c r="AY12">
        <v>2143</v>
      </c>
      <c r="AZ12">
        <v>2137</v>
      </c>
      <c r="BA12">
        <v>2136</v>
      </c>
      <c r="BB12">
        <v>2135</v>
      </c>
      <c r="BC12">
        <v>2121</v>
      </c>
      <c r="BD12">
        <v>2112</v>
      </c>
      <c r="BE12">
        <v>2108</v>
      </c>
      <c r="BF12">
        <v>2103</v>
      </c>
      <c r="BG12">
        <v>2101</v>
      </c>
      <c r="BH12">
        <v>2102</v>
      </c>
      <c r="BI12">
        <v>2104</v>
      </c>
      <c r="BJ12">
        <v>2106</v>
      </c>
      <c r="BK12">
        <v>2107</v>
      </c>
      <c r="BL12">
        <v>2106</v>
      </c>
      <c r="BM12">
        <v>2101</v>
      </c>
      <c r="BN12">
        <v>2094</v>
      </c>
      <c r="BO12">
        <v>2097</v>
      </c>
      <c r="BP12">
        <v>2105</v>
      </c>
      <c r="BQ12">
        <v>2112</v>
      </c>
      <c r="BR12">
        <v>2123</v>
      </c>
      <c r="BS12">
        <v>2128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2188</v>
      </c>
      <c r="AN13">
        <v>2185</v>
      </c>
      <c r="AO13">
        <v>2184</v>
      </c>
      <c r="AP13">
        <v>2182</v>
      </c>
      <c r="AQ13">
        <v>2171</v>
      </c>
      <c r="AR13">
        <v>2167</v>
      </c>
      <c r="AS13">
        <v>2165</v>
      </c>
      <c r="AT13">
        <v>2164</v>
      </c>
      <c r="AU13">
        <v>2161</v>
      </c>
      <c r="AV13">
        <v>2157</v>
      </c>
      <c r="AW13">
        <v>2150</v>
      </c>
      <c r="AX13">
        <v>2144</v>
      </c>
      <c r="AY13">
        <v>2139</v>
      </c>
      <c r="AZ13">
        <v>2134</v>
      </c>
      <c r="BA13">
        <v>2131</v>
      </c>
      <c r="BB13">
        <v>2128</v>
      </c>
      <c r="BC13">
        <v>2122</v>
      </c>
      <c r="BD13">
        <v>2114</v>
      </c>
      <c r="BE13">
        <v>2108</v>
      </c>
      <c r="BF13">
        <v>2102</v>
      </c>
      <c r="BG13">
        <v>2098</v>
      </c>
      <c r="BH13">
        <v>2096</v>
      </c>
      <c r="BI13">
        <v>2097</v>
      </c>
      <c r="BJ13">
        <v>2098</v>
      </c>
      <c r="BK13">
        <v>2103</v>
      </c>
      <c r="BL13">
        <v>2101</v>
      </c>
      <c r="BM13">
        <v>2096</v>
      </c>
      <c r="BN13">
        <v>2088</v>
      </c>
      <c r="BO13">
        <v>2089</v>
      </c>
      <c r="BP13">
        <v>2096</v>
      </c>
      <c r="BQ13">
        <v>2108</v>
      </c>
      <c r="BR13">
        <v>2121</v>
      </c>
      <c r="BS13">
        <v>2123</v>
      </c>
      <c r="BT13">
        <v>2124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2188</v>
      </c>
      <c r="AN14">
        <v>2178</v>
      </c>
      <c r="AO14">
        <v>2172</v>
      </c>
      <c r="AP14">
        <v>2168</v>
      </c>
      <c r="AQ14">
        <v>2158</v>
      </c>
      <c r="AR14">
        <v>2157</v>
      </c>
      <c r="AS14">
        <v>2157</v>
      </c>
      <c r="AT14">
        <v>2161</v>
      </c>
      <c r="AU14">
        <v>2160</v>
      </c>
      <c r="AV14">
        <v>2155</v>
      </c>
      <c r="AW14">
        <v>2148</v>
      </c>
      <c r="AX14">
        <v>2142</v>
      </c>
      <c r="AY14">
        <v>2137</v>
      </c>
      <c r="AZ14">
        <v>2132</v>
      </c>
      <c r="BA14">
        <v>2128</v>
      </c>
      <c r="BB14">
        <v>2124</v>
      </c>
      <c r="BC14">
        <v>2120</v>
      </c>
      <c r="BD14">
        <v>2116</v>
      </c>
      <c r="BE14">
        <v>2110</v>
      </c>
      <c r="BF14">
        <v>2104</v>
      </c>
      <c r="BG14">
        <v>2098</v>
      </c>
      <c r="BH14">
        <v>2092</v>
      </c>
      <c r="BI14">
        <v>2092</v>
      </c>
      <c r="BJ14">
        <v>2094</v>
      </c>
      <c r="BK14">
        <v>2097</v>
      </c>
      <c r="BL14">
        <v>2097</v>
      </c>
      <c r="BM14">
        <v>2089</v>
      </c>
      <c r="BN14">
        <v>2081</v>
      </c>
      <c r="BO14">
        <v>2080</v>
      </c>
      <c r="BP14">
        <v>2087</v>
      </c>
      <c r="BQ14">
        <v>2098</v>
      </c>
      <c r="BR14">
        <v>2113</v>
      </c>
      <c r="BS14">
        <v>2116</v>
      </c>
      <c r="BT14">
        <v>2118</v>
      </c>
      <c r="BU14">
        <v>2118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2197</v>
      </c>
      <c r="AM15">
        <v>2186</v>
      </c>
      <c r="AN15">
        <v>2178</v>
      </c>
      <c r="AO15">
        <v>2170</v>
      </c>
      <c r="AP15">
        <v>2153</v>
      </c>
      <c r="AQ15">
        <v>2145</v>
      </c>
      <c r="AR15">
        <v>2142</v>
      </c>
      <c r="AS15">
        <v>2143</v>
      </c>
      <c r="AT15">
        <v>2150</v>
      </c>
      <c r="AU15">
        <v>2152</v>
      </c>
      <c r="AV15">
        <v>2151</v>
      </c>
      <c r="AW15">
        <v>2146</v>
      </c>
      <c r="AX15">
        <v>2140</v>
      </c>
      <c r="AY15">
        <v>2134</v>
      </c>
      <c r="AZ15">
        <v>2129</v>
      </c>
      <c r="BA15">
        <v>2124</v>
      </c>
      <c r="BB15">
        <v>2120</v>
      </c>
      <c r="BC15">
        <v>2116</v>
      </c>
      <c r="BD15">
        <v>2113</v>
      </c>
      <c r="BE15">
        <v>2111</v>
      </c>
      <c r="BF15">
        <v>2106</v>
      </c>
      <c r="BG15">
        <v>2100</v>
      </c>
      <c r="BH15">
        <v>2091</v>
      </c>
      <c r="BI15">
        <v>2087</v>
      </c>
      <c r="BJ15">
        <v>2090</v>
      </c>
      <c r="BK15">
        <v>2092</v>
      </c>
      <c r="BL15">
        <v>2090</v>
      </c>
      <c r="BM15">
        <v>2087</v>
      </c>
      <c r="BN15">
        <v>2078</v>
      </c>
      <c r="BO15">
        <v>2073</v>
      </c>
      <c r="BP15">
        <v>2078</v>
      </c>
      <c r="BQ15">
        <v>2085</v>
      </c>
      <c r="BR15">
        <v>2097</v>
      </c>
      <c r="BS15">
        <v>2105</v>
      </c>
      <c r="BT15">
        <v>2110</v>
      </c>
      <c r="BU15">
        <v>2114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2207</v>
      </c>
      <c r="AL16">
        <v>2195</v>
      </c>
      <c r="AM16">
        <v>2186</v>
      </c>
      <c r="AN16">
        <v>2175</v>
      </c>
      <c r="AO16">
        <v>2164</v>
      </c>
      <c r="AP16">
        <v>2155</v>
      </c>
      <c r="AQ16">
        <v>2150</v>
      </c>
      <c r="AR16">
        <v>2146</v>
      </c>
      <c r="AS16">
        <v>2131</v>
      </c>
      <c r="AT16">
        <v>2136</v>
      </c>
      <c r="AU16">
        <v>2137</v>
      </c>
      <c r="AV16">
        <v>2140</v>
      </c>
      <c r="AW16">
        <v>2139</v>
      </c>
      <c r="AX16">
        <v>2136</v>
      </c>
      <c r="AY16">
        <v>2132</v>
      </c>
      <c r="AZ16">
        <v>2125</v>
      </c>
      <c r="BA16">
        <v>2120</v>
      </c>
      <c r="BB16">
        <v>2115</v>
      </c>
      <c r="BC16">
        <v>2111</v>
      </c>
      <c r="BD16">
        <v>2109</v>
      </c>
      <c r="BE16">
        <v>2107</v>
      </c>
      <c r="BF16">
        <v>2105</v>
      </c>
      <c r="BG16">
        <v>2101</v>
      </c>
      <c r="BH16">
        <v>2097</v>
      </c>
      <c r="BI16">
        <v>2083</v>
      </c>
      <c r="BJ16">
        <v>2086</v>
      </c>
      <c r="BK16">
        <v>2089</v>
      </c>
      <c r="BL16">
        <v>2088</v>
      </c>
      <c r="BM16">
        <v>2086</v>
      </c>
      <c r="BN16">
        <v>2078</v>
      </c>
      <c r="BO16">
        <v>2070</v>
      </c>
      <c r="BP16">
        <v>2070</v>
      </c>
      <c r="BQ16">
        <v>2072</v>
      </c>
      <c r="BR16">
        <v>2084</v>
      </c>
      <c r="BS16">
        <v>2092</v>
      </c>
      <c r="BT16">
        <v>2102</v>
      </c>
      <c r="BU16">
        <v>2109</v>
      </c>
      <c r="BV16">
        <v>2110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x14ac:dyDescent="0.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2208</v>
      </c>
      <c r="AK17">
        <v>2202</v>
      </c>
      <c r="AL17">
        <v>2186</v>
      </c>
      <c r="AM17">
        <v>2179</v>
      </c>
      <c r="AN17">
        <v>2170</v>
      </c>
      <c r="AO17">
        <v>2158</v>
      </c>
      <c r="AP17">
        <v>2155</v>
      </c>
      <c r="AQ17">
        <v>2152</v>
      </c>
      <c r="AR17">
        <v>2148</v>
      </c>
      <c r="AS17">
        <v>2135</v>
      </c>
      <c r="AT17">
        <v>2124</v>
      </c>
      <c r="AU17">
        <v>2122</v>
      </c>
      <c r="AV17">
        <v>2122</v>
      </c>
      <c r="AW17">
        <v>2129</v>
      </c>
      <c r="AX17">
        <v>2129</v>
      </c>
      <c r="AY17">
        <v>2125</v>
      </c>
      <c r="AZ17">
        <v>2119</v>
      </c>
      <c r="BA17">
        <v>2113</v>
      </c>
      <c r="BB17">
        <v>2110</v>
      </c>
      <c r="BC17">
        <v>2108</v>
      </c>
      <c r="BD17">
        <v>2106</v>
      </c>
      <c r="BE17">
        <v>2105</v>
      </c>
      <c r="BF17">
        <v>2103</v>
      </c>
      <c r="BG17">
        <v>2100</v>
      </c>
      <c r="BH17">
        <v>2097</v>
      </c>
      <c r="BI17">
        <v>2083</v>
      </c>
      <c r="BJ17">
        <v>2082</v>
      </c>
      <c r="BK17">
        <v>2087</v>
      </c>
      <c r="BL17">
        <v>2085</v>
      </c>
      <c r="BM17">
        <v>2078</v>
      </c>
      <c r="BN17">
        <v>2067</v>
      </c>
      <c r="BO17">
        <v>2065</v>
      </c>
      <c r="BP17">
        <v>2062</v>
      </c>
      <c r="BQ17">
        <v>2063</v>
      </c>
      <c r="BR17">
        <v>2069</v>
      </c>
      <c r="BS17">
        <v>2077</v>
      </c>
      <c r="BT17">
        <v>2093</v>
      </c>
      <c r="BU17">
        <v>2101</v>
      </c>
      <c r="BV17">
        <v>2103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x14ac:dyDescent="0.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2214</v>
      </c>
      <c r="AJ18">
        <v>2207</v>
      </c>
      <c r="AK18">
        <v>2194</v>
      </c>
      <c r="AL18">
        <v>2182</v>
      </c>
      <c r="AM18">
        <v>2174</v>
      </c>
      <c r="AN18">
        <v>2167</v>
      </c>
      <c r="AO18">
        <v>2158</v>
      </c>
      <c r="AP18">
        <v>2155</v>
      </c>
      <c r="AQ18">
        <v>2150</v>
      </c>
      <c r="AR18">
        <v>2146</v>
      </c>
      <c r="AS18">
        <v>2133</v>
      </c>
      <c r="AT18">
        <v>2126</v>
      </c>
      <c r="AU18">
        <v>2117</v>
      </c>
      <c r="AV18">
        <v>2105</v>
      </c>
      <c r="AW18">
        <v>2115</v>
      </c>
      <c r="AX18">
        <v>2120</v>
      </c>
      <c r="AY18">
        <v>2117</v>
      </c>
      <c r="AZ18">
        <v>2111</v>
      </c>
      <c r="BA18">
        <v>2108</v>
      </c>
      <c r="BB18">
        <v>2104</v>
      </c>
      <c r="BC18">
        <v>2102</v>
      </c>
      <c r="BD18">
        <v>2102</v>
      </c>
      <c r="BE18">
        <v>2102</v>
      </c>
      <c r="BF18">
        <v>2101</v>
      </c>
      <c r="BG18">
        <v>2099</v>
      </c>
      <c r="BH18">
        <v>2093</v>
      </c>
      <c r="BI18">
        <v>2086</v>
      </c>
      <c r="BJ18">
        <v>2073</v>
      </c>
      <c r="BK18">
        <v>2078</v>
      </c>
      <c r="BL18">
        <v>2075</v>
      </c>
      <c r="BM18">
        <v>2067</v>
      </c>
      <c r="BN18">
        <v>2060</v>
      </c>
      <c r="BO18">
        <v>2060</v>
      </c>
      <c r="BP18">
        <v>2057</v>
      </c>
      <c r="BQ18">
        <v>2057</v>
      </c>
      <c r="BR18">
        <v>2056</v>
      </c>
      <c r="BS18">
        <v>2066</v>
      </c>
      <c r="BT18">
        <v>2081</v>
      </c>
      <c r="BU18">
        <v>2091</v>
      </c>
      <c r="BV18">
        <v>2096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x14ac:dyDescent="0.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2220</v>
      </c>
      <c r="AI19">
        <v>2208</v>
      </c>
      <c r="AJ19">
        <v>2210</v>
      </c>
      <c r="AK19">
        <v>2195</v>
      </c>
      <c r="AL19">
        <v>2184</v>
      </c>
      <c r="AM19">
        <v>2181</v>
      </c>
      <c r="AN19">
        <v>2172</v>
      </c>
      <c r="AO19">
        <v>2163</v>
      </c>
      <c r="AP19">
        <v>2157</v>
      </c>
      <c r="AQ19">
        <v>2151</v>
      </c>
      <c r="AR19">
        <v>2147</v>
      </c>
      <c r="AS19">
        <v>2139</v>
      </c>
      <c r="AT19">
        <v>2133</v>
      </c>
      <c r="AU19">
        <v>2117</v>
      </c>
      <c r="AV19">
        <v>2092</v>
      </c>
      <c r="AW19">
        <v>2099</v>
      </c>
      <c r="AX19">
        <v>2108</v>
      </c>
      <c r="AY19">
        <v>2109</v>
      </c>
      <c r="AZ19">
        <v>2103</v>
      </c>
      <c r="BA19">
        <v>2102</v>
      </c>
      <c r="BB19">
        <v>2099</v>
      </c>
      <c r="BC19">
        <v>2097</v>
      </c>
      <c r="BD19">
        <v>2098</v>
      </c>
      <c r="BE19">
        <v>2100</v>
      </c>
      <c r="BF19">
        <v>2100</v>
      </c>
      <c r="BG19">
        <v>2098</v>
      </c>
      <c r="BH19">
        <v>2089</v>
      </c>
      <c r="BI19">
        <v>2081</v>
      </c>
      <c r="BJ19">
        <v>2071</v>
      </c>
      <c r="BK19">
        <v>2063</v>
      </c>
      <c r="BL19">
        <v>2063</v>
      </c>
      <c r="BM19">
        <v>2060</v>
      </c>
      <c r="BN19">
        <v>2055</v>
      </c>
      <c r="BO19">
        <v>2057</v>
      </c>
      <c r="BP19">
        <v>2056</v>
      </c>
      <c r="BQ19">
        <v>2056</v>
      </c>
      <c r="BR19">
        <v>2056</v>
      </c>
      <c r="BS19">
        <v>2058</v>
      </c>
      <c r="BT19">
        <v>2070</v>
      </c>
      <c r="BU19">
        <v>2084</v>
      </c>
      <c r="BV19">
        <v>2096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x14ac:dyDescent="0.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2219</v>
      </c>
      <c r="AI20">
        <v>2227</v>
      </c>
      <c r="AJ20">
        <v>2228</v>
      </c>
      <c r="AK20">
        <v>2210</v>
      </c>
      <c r="AL20">
        <v>2199</v>
      </c>
      <c r="AM20">
        <v>2187</v>
      </c>
      <c r="AN20">
        <v>2179</v>
      </c>
      <c r="AO20">
        <v>2172</v>
      </c>
      <c r="AP20">
        <v>2159</v>
      </c>
      <c r="AQ20">
        <v>2149</v>
      </c>
      <c r="AR20">
        <v>2146</v>
      </c>
      <c r="AS20">
        <v>2138</v>
      </c>
      <c r="AT20">
        <v>2132</v>
      </c>
      <c r="AU20">
        <v>2113</v>
      </c>
      <c r="AV20">
        <v>2087</v>
      </c>
      <c r="AW20">
        <v>2089</v>
      </c>
      <c r="AX20">
        <v>2095</v>
      </c>
      <c r="AY20">
        <v>2099</v>
      </c>
      <c r="AZ20">
        <v>2095</v>
      </c>
      <c r="BA20">
        <v>2095</v>
      </c>
      <c r="BB20">
        <v>2093</v>
      </c>
      <c r="BC20">
        <v>2093</v>
      </c>
      <c r="BD20">
        <v>2094</v>
      </c>
      <c r="BE20">
        <v>2098</v>
      </c>
      <c r="BF20">
        <v>2097</v>
      </c>
      <c r="BG20">
        <v>2092</v>
      </c>
      <c r="BH20">
        <v>2084</v>
      </c>
      <c r="BI20">
        <v>2077</v>
      </c>
      <c r="BJ20">
        <v>2069</v>
      </c>
      <c r="BK20">
        <v>2060</v>
      </c>
      <c r="BL20">
        <v>2054</v>
      </c>
      <c r="BM20">
        <v>2055</v>
      </c>
      <c r="BN20">
        <v>2053</v>
      </c>
      <c r="BO20">
        <v>2056</v>
      </c>
      <c r="BP20">
        <v>2059</v>
      </c>
      <c r="BQ20">
        <v>2060</v>
      </c>
      <c r="BR20">
        <v>2062</v>
      </c>
      <c r="BS20">
        <v>2060</v>
      </c>
      <c r="BT20">
        <v>2067</v>
      </c>
      <c r="BU20">
        <v>2083</v>
      </c>
      <c r="BV20">
        <v>2110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x14ac:dyDescent="0.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2230</v>
      </c>
      <c r="AH21">
        <v>2239</v>
      </c>
      <c r="AI21">
        <v>2243</v>
      </c>
      <c r="AJ21">
        <v>2230</v>
      </c>
      <c r="AK21">
        <v>2210</v>
      </c>
      <c r="AL21">
        <v>2194</v>
      </c>
      <c r="AM21">
        <v>2179</v>
      </c>
      <c r="AN21">
        <v>2168</v>
      </c>
      <c r="AO21">
        <v>2158</v>
      </c>
      <c r="AP21">
        <v>2148</v>
      </c>
      <c r="AQ21">
        <v>2139</v>
      </c>
      <c r="AR21">
        <v>2131</v>
      </c>
      <c r="AS21">
        <v>2124</v>
      </c>
      <c r="AT21">
        <v>2116</v>
      </c>
      <c r="AU21">
        <v>2100</v>
      </c>
      <c r="AV21">
        <v>2077</v>
      </c>
      <c r="AW21">
        <v>2074</v>
      </c>
      <c r="AX21">
        <v>2081</v>
      </c>
      <c r="AY21">
        <v>2087</v>
      </c>
      <c r="AZ21">
        <v>2085</v>
      </c>
      <c r="BA21">
        <v>2085</v>
      </c>
      <c r="BB21">
        <v>2085</v>
      </c>
      <c r="BC21">
        <v>2088</v>
      </c>
      <c r="BD21">
        <v>2091</v>
      </c>
      <c r="BE21">
        <v>2095</v>
      </c>
      <c r="BF21">
        <v>2092</v>
      </c>
      <c r="BG21">
        <v>2085</v>
      </c>
      <c r="BH21">
        <v>2080</v>
      </c>
      <c r="BI21">
        <v>2075</v>
      </c>
      <c r="BJ21">
        <v>2067</v>
      </c>
      <c r="BK21">
        <v>2060</v>
      </c>
      <c r="BL21">
        <v>2051</v>
      </c>
      <c r="BM21">
        <v>2051</v>
      </c>
      <c r="BN21">
        <v>2052</v>
      </c>
      <c r="BO21">
        <v>2061</v>
      </c>
      <c r="BP21">
        <v>2065</v>
      </c>
      <c r="BQ21">
        <v>2073</v>
      </c>
      <c r="BR21">
        <v>2073</v>
      </c>
      <c r="BS21">
        <v>2070</v>
      </c>
      <c r="BT21">
        <v>2070</v>
      </c>
      <c r="BU21">
        <v>2082</v>
      </c>
      <c r="BV21">
        <v>2097</v>
      </c>
      <c r="BW21">
        <v>2107</v>
      </c>
      <c r="BX21">
        <v>0</v>
      </c>
      <c r="BY21">
        <v>0</v>
      </c>
      <c r="BZ21">
        <v>0</v>
      </c>
      <c r="CA21">
        <v>0</v>
      </c>
    </row>
    <row r="22" spans="1:79" x14ac:dyDescent="0.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2248</v>
      </c>
      <c r="AH22">
        <v>2245</v>
      </c>
      <c r="AI22">
        <v>2232</v>
      </c>
      <c r="AJ22">
        <v>2215</v>
      </c>
      <c r="AK22">
        <v>2199</v>
      </c>
      <c r="AL22">
        <v>2183</v>
      </c>
      <c r="AM22">
        <v>2171</v>
      </c>
      <c r="AN22">
        <v>2162</v>
      </c>
      <c r="AO22">
        <v>2151</v>
      </c>
      <c r="AP22">
        <v>2138</v>
      </c>
      <c r="AQ22">
        <v>2126</v>
      </c>
      <c r="AR22">
        <v>2114</v>
      </c>
      <c r="AS22">
        <v>2100</v>
      </c>
      <c r="AT22">
        <v>2092</v>
      </c>
      <c r="AU22">
        <v>2075</v>
      </c>
      <c r="AV22">
        <v>2065</v>
      </c>
      <c r="AW22">
        <v>2060</v>
      </c>
      <c r="AX22">
        <v>2068</v>
      </c>
      <c r="AY22">
        <v>2077</v>
      </c>
      <c r="AZ22">
        <v>2077</v>
      </c>
      <c r="BA22">
        <v>2076</v>
      </c>
      <c r="BB22">
        <v>2080</v>
      </c>
      <c r="BC22">
        <v>2085</v>
      </c>
      <c r="BD22">
        <v>2088</v>
      </c>
      <c r="BE22">
        <v>2091</v>
      </c>
      <c r="BF22">
        <v>2087</v>
      </c>
      <c r="BG22">
        <v>2081</v>
      </c>
      <c r="BH22">
        <v>2075</v>
      </c>
      <c r="BI22">
        <v>2071</v>
      </c>
      <c r="BJ22">
        <v>2066</v>
      </c>
      <c r="BK22">
        <v>2061</v>
      </c>
      <c r="BL22">
        <v>2051</v>
      </c>
      <c r="BM22">
        <v>2048</v>
      </c>
      <c r="BN22">
        <v>2051</v>
      </c>
      <c r="BO22">
        <v>2058</v>
      </c>
      <c r="BP22">
        <v>2065</v>
      </c>
      <c r="BQ22">
        <v>2070</v>
      </c>
      <c r="BR22">
        <v>2075</v>
      </c>
      <c r="BS22">
        <v>2080</v>
      </c>
      <c r="BT22">
        <v>2077</v>
      </c>
      <c r="BU22">
        <v>2077</v>
      </c>
      <c r="BV22">
        <v>2087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x14ac:dyDescent="0.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2257</v>
      </c>
      <c r="AG23">
        <v>2243</v>
      </c>
      <c r="AH23">
        <v>2230</v>
      </c>
      <c r="AI23">
        <v>2216</v>
      </c>
      <c r="AJ23">
        <v>2201</v>
      </c>
      <c r="AK23">
        <v>2185</v>
      </c>
      <c r="AL23">
        <v>2173</v>
      </c>
      <c r="AM23">
        <v>2160</v>
      </c>
      <c r="AN23">
        <v>2150</v>
      </c>
      <c r="AO23">
        <v>2144</v>
      </c>
      <c r="AP23">
        <v>2136</v>
      </c>
      <c r="AQ23">
        <v>2123</v>
      </c>
      <c r="AR23">
        <v>2111</v>
      </c>
      <c r="AS23">
        <v>2092</v>
      </c>
      <c r="AT23">
        <v>2073</v>
      </c>
      <c r="AU23">
        <v>2062</v>
      </c>
      <c r="AV23">
        <v>2055</v>
      </c>
      <c r="AW23">
        <v>2049</v>
      </c>
      <c r="AX23">
        <v>2060</v>
      </c>
      <c r="AY23">
        <v>2067</v>
      </c>
      <c r="AZ23">
        <v>2067</v>
      </c>
      <c r="BA23">
        <v>2069</v>
      </c>
      <c r="BB23">
        <v>2074</v>
      </c>
      <c r="BC23">
        <v>2082</v>
      </c>
      <c r="BD23">
        <v>2085</v>
      </c>
      <c r="BE23">
        <v>2089</v>
      </c>
      <c r="BF23">
        <v>2088</v>
      </c>
      <c r="BG23">
        <v>2079</v>
      </c>
      <c r="BH23">
        <v>2071</v>
      </c>
      <c r="BI23">
        <v>2069</v>
      </c>
      <c r="BJ23">
        <v>2065</v>
      </c>
      <c r="BK23">
        <v>2061</v>
      </c>
      <c r="BL23">
        <v>2050</v>
      </c>
      <c r="BM23">
        <v>2045</v>
      </c>
      <c r="BN23">
        <v>2047</v>
      </c>
      <c r="BO23">
        <v>2053</v>
      </c>
      <c r="BP23">
        <v>2062</v>
      </c>
      <c r="BQ23">
        <v>2070</v>
      </c>
      <c r="BR23">
        <v>2077</v>
      </c>
      <c r="BS23">
        <v>2086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x14ac:dyDescent="0.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2253</v>
      </c>
      <c r="AD24">
        <v>2258</v>
      </c>
      <c r="AE24">
        <v>2251</v>
      </c>
      <c r="AF24">
        <v>2240</v>
      </c>
      <c r="AG24">
        <v>2226</v>
      </c>
      <c r="AH24">
        <v>2212</v>
      </c>
      <c r="AI24">
        <v>2199</v>
      </c>
      <c r="AJ24">
        <v>2182</v>
      </c>
      <c r="AK24">
        <v>2169</v>
      </c>
      <c r="AL24">
        <v>2156</v>
      </c>
      <c r="AM24">
        <v>2145</v>
      </c>
      <c r="AN24">
        <v>2136</v>
      </c>
      <c r="AO24">
        <v>2129</v>
      </c>
      <c r="AP24">
        <v>2119</v>
      </c>
      <c r="AQ24">
        <v>2111</v>
      </c>
      <c r="AR24">
        <v>2105</v>
      </c>
      <c r="AS24">
        <v>2093</v>
      </c>
      <c r="AT24">
        <v>2075</v>
      </c>
      <c r="AU24">
        <v>2059</v>
      </c>
      <c r="AV24">
        <v>2047</v>
      </c>
      <c r="AW24">
        <v>2040</v>
      </c>
      <c r="AX24">
        <v>2050</v>
      </c>
      <c r="AY24">
        <v>2054</v>
      </c>
      <c r="AZ24">
        <v>2054</v>
      </c>
      <c r="BA24">
        <v>2059</v>
      </c>
      <c r="BB24">
        <v>2073</v>
      </c>
      <c r="BC24">
        <v>2077</v>
      </c>
      <c r="BD24">
        <v>2081</v>
      </c>
      <c r="BE24">
        <v>2085</v>
      </c>
      <c r="BF24">
        <v>2086</v>
      </c>
      <c r="BG24">
        <v>2077</v>
      </c>
      <c r="BH24">
        <v>2071</v>
      </c>
      <c r="BI24">
        <v>2066</v>
      </c>
      <c r="BJ24">
        <v>2065</v>
      </c>
      <c r="BK24">
        <v>2062</v>
      </c>
      <c r="BL24">
        <v>2048</v>
      </c>
      <c r="BM24">
        <v>2045</v>
      </c>
      <c r="BN24">
        <v>2045</v>
      </c>
      <c r="BO24">
        <v>2047</v>
      </c>
      <c r="BP24">
        <v>2056</v>
      </c>
      <c r="BQ24">
        <v>2067</v>
      </c>
      <c r="BR24">
        <v>2077</v>
      </c>
      <c r="BS24">
        <v>2087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x14ac:dyDescent="0.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2265</v>
      </c>
      <c r="AC25">
        <v>2240</v>
      </c>
      <c r="AD25">
        <v>2229</v>
      </c>
      <c r="AE25">
        <v>2229</v>
      </c>
      <c r="AF25">
        <v>2218</v>
      </c>
      <c r="AG25">
        <v>2207</v>
      </c>
      <c r="AH25">
        <v>2196</v>
      </c>
      <c r="AI25">
        <v>2181</v>
      </c>
      <c r="AJ25">
        <v>2168</v>
      </c>
      <c r="AK25">
        <v>2155</v>
      </c>
      <c r="AL25">
        <v>2139</v>
      </c>
      <c r="AM25">
        <v>2126</v>
      </c>
      <c r="AN25">
        <v>2119</v>
      </c>
      <c r="AO25">
        <v>2113</v>
      </c>
      <c r="AP25">
        <v>2106</v>
      </c>
      <c r="AQ25">
        <v>2097</v>
      </c>
      <c r="AR25">
        <v>2092</v>
      </c>
      <c r="AS25">
        <v>2087</v>
      </c>
      <c r="AT25">
        <v>2077</v>
      </c>
      <c r="AU25">
        <v>2058</v>
      </c>
      <c r="AV25">
        <v>2045</v>
      </c>
      <c r="AW25">
        <v>2035</v>
      </c>
      <c r="AX25">
        <v>2038</v>
      </c>
      <c r="AY25">
        <v>2042</v>
      </c>
      <c r="AZ25">
        <v>2043</v>
      </c>
      <c r="BA25">
        <v>2049</v>
      </c>
      <c r="BB25">
        <v>2064</v>
      </c>
      <c r="BC25">
        <v>2071</v>
      </c>
      <c r="BD25">
        <v>2074</v>
      </c>
      <c r="BE25">
        <v>2078</v>
      </c>
      <c r="BF25">
        <v>2081</v>
      </c>
      <c r="BG25">
        <v>2075</v>
      </c>
      <c r="BH25">
        <v>2065</v>
      </c>
      <c r="BI25">
        <v>2062</v>
      </c>
      <c r="BJ25">
        <v>2062</v>
      </c>
      <c r="BK25">
        <v>2062</v>
      </c>
      <c r="BL25">
        <v>2057</v>
      </c>
      <c r="BM25">
        <v>2049</v>
      </c>
      <c r="BN25">
        <v>2049</v>
      </c>
      <c r="BO25">
        <v>2045</v>
      </c>
      <c r="BP25">
        <v>2048</v>
      </c>
      <c r="BQ25">
        <v>2059</v>
      </c>
      <c r="BR25">
        <v>2068</v>
      </c>
      <c r="BS25">
        <v>2079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x14ac:dyDescent="0.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2274</v>
      </c>
      <c r="AA26">
        <v>2259</v>
      </c>
      <c r="AB26">
        <v>2237</v>
      </c>
      <c r="AC26">
        <v>2212</v>
      </c>
      <c r="AD26">
        <v>2203</v>
      </c>
      <c r="AE26">
        <v>2202</v>
      </c>
      <c r="AF26">
        <v>2196</v>
      </c>
      <c r="AG26">
        <v>2187</v>
      </c>
      <c r="AH26">
        <v>2177</v>
      </c>
      <c r="AI26">
        <v>2164</v>
      </c>
      <c r="AJ26">
        <v>2151</v>
      </c>
      <c r="AK26">
        <v>2135</v>
      </c>
      <c r="AL26">
        <v>2119</v>
      </c>
      <c r="AM26">
        <v>2108</v>
      </c>
      <c r="AN26">
        <v>2103</v>
      </c>
      <c r="AO26">
        <v>2098</v>
      </c>
      <c r="AP26">
        <v>2088</v>
      </c>
      <c r="AQ26">
        <v>2083</v>
      </c>
      <c r="AR26">
        <v>2079</v>
      </c>
      <c r="AS26">
        <v>2077</v>
      </c>
      <c r="AT26">
        <v>2072</v>
      </c>
      <c r="AU26">
        <v>2061</v>
      </c>
      <c r="AV26">
        <v>2042</v>
      </c>
      <c r="AW26">
        <v>2033</v>
      </c>
      <c r="AX26">
        <v>2026</v>
      </c>
      <c r="AY26">
        <v>2027</v>
      </c>
      <c r="AZ26">
        <v>2032</v>
      </c>
      <c r="BA26">
        <v>2040</v>
      </c>
      <c r="BB26">
        <v>2053</v>
      </c>
      <c r="BC26">
        <v>2064</v>
      </c>
      <c r="BD26">
        <v>2068</v>
      </c>
      <c r="BE26">
        <v>2071</v>
      </c>
      <c r="BF26">
        <v>2074</v>
      </c>
      <c r="BG26">
        <v>2070</v>
      </c>
      <c r="BH26">
        <v>2061</v>
      </c>
      <c r="BI26">
        <v>2057</v>
      </c>
      <c r="BJ26">
        <v>2059</v>
      </c>
      <c r="BK26">
        <v>2058</v>
      </c>
      <c r="BL26">
        <v>2058</v>
      </c>
      <c r="BM26">
        <v>2057</v>
      </c>
      <c r="BN26">
        <v>2050</v>
      </c>
      <c r="BO26">
        <v>2049</v>
      </c>
      <c r="BP26">
        <v>2042</v>
      </c>
      <c r="BQ26">
        <v>2049</v>
      </c>
      <c r="BR26">
        <v>2058</v>
      </c>
      <c r="BS26">
        <v>2065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2273</v>
      </c>
      <c r="Z27">
        <v>2252</v>
      </c>
      <c r="AA27">
        <v>2235</v>
      </c>
      <c r="AB27">
        <v>2217</v>
      </c>
      <c r="AC27">
        <v>2193</v>
      </c>
      <c r="AD27">
        <v>2175</v>
      </c>
      <c r="AE27">
        <v>2179</v>
      </c>
      <c r="AF27">
        <v>2176</v>
      </c>
      <c r="AG27">
        <v>2170</v>
      </c>
      <c r="AH27">
        <v>2159</v>
      </c>
      <c r="AI27">
        <v>2147</v>
      </c>
      <c r="AJ27">
        <v>2130</v>
      </c>
      <c r="AK27">
        <v>2112</v>
      </c>
      <c r="AL27">
        <v>2101</v>
      </c>
      <c r="AM27">
        <v>2095</v>
      </c>
      <c r="AN27">
        <v>2088</v>
      </c>
      <c r="AO27">
        <v>2080</v>
      </c>
      <c r="AP27">
        <v>2074</v>
      </c>
      <c r="AQ27">
        <v>2068</v>
      </c>
      <c r="AR27">
        <v>2068</v>
      </c>
      <c r="AS27">
        <v>2067</v>
      </c>
      <c r="AT27">
        <v>2066</v>
      </c>
      <c r="AU27">
        <v>2058</v>
      </c>
      <c r="AV27">
        <v>2046</v>
      </c>
      <c r="AW27">
        <v>2037</v>
      </c>
      <c r="AX27">
        <v>2026</v>
      </c>
      <c r="AY27">
        <v>2019</v>
      </c>
      <c r="AZ27">
        <v>2023</v>
      </c>
      <c r="BA27">
        <v>2031</v>
      </c>
      <c r="BB27">
        <v>2043</v>
      </c>
      <c r="BC27">
        <v>2058</v>
      </c>
      <c r="BD27">
        <v>2062</v>
      </c>
      <c r="BE27">
        <v>2064</v>
      </c>
      <c r="BF27">
        <v>2065</v>
      </c>
      <c r="BG27">
        <v>2061</v>
      </c>
      <c r="BH27">
        <v>2056</v>
      </c>
      <c r="BI27">
        <v>2052</v>
      </c>
      <c r="BJ27">
        <v>2052</v>
      </c>
      <c r="BK27">
        <v>2053</v>
      </c>
      <c r="BL27">
        <v>2057</v>
      </c>
      <c r="BM27">
        <v>2057</v>
      </c>
      <c r="BN27">
        <v>2054</v>
      </c>
      <c r="BO27">
        <v>2052</v>
      </c>
      <c r="BP27">
        <v>2041</v>
      </c>
      <c r="BQ27">
        <v>2043</v>
      </c>
      <c r="BR27">
        <v>2048</v>
      </c>
      <c r="BS27">
        <v>2052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2273</v>
      </c>
      <c r="Y28">
        <v>2250</v>
      </c>
      <c r="Z28">
        <v>2229</v>
      </c>
      <c r="AA28">
        <v>2213</v>
      </c>
      <c r="AB28">
        <v>2198</v>
      </c>
      <c r="AC28">
        <v>2179</v>
      </c>
      <c r="AD28">
        <v>2166</v>
      </c>
      <c r="AE28">
        <v>2163</v>
      </c>
      <c r="AF28">
        <v>2162</v>
      </c>
      <c r="AG28">
        <v>2154</v>
      </c>
      <c r="AH28">
        <v>2142</v>
      </c>
      <c r="AI28">
        <v>2129</v>
      </c>
      <c r="AJ28">
        <v>2113</v>
      </c>
      <c r="AK28">
        <v>2097</v>
      </c>
      <c r="AL28">
        <v>2088</v>
      </c>
      <c r="AM28">
        <v>2080</v>
      </c>
      <c r="AN28">
        <v>2072</v>
      </c>
      <c r="AO28">
        <v>2064</v>
      </c>
      <c r="AP28">
        <v>2060</v>
      </c>
      <c r="AQ28">
        <v>2056</v>
      </c>
      <c r="AR28">
        <v>2057</v>
      </c>
      <c r="AS28">
        <v>2058</v>
      </c>
      <c r="AT28">
        <v>2058</v>
      </c>
      <c r="AU28">
        <v>2054</v>
      </c>
      <c r="AV28">
        <v>2048</v>
      </c>
      <c r="AW28">
        <v>2039</v>
      </c>
      <c r="AX28">
        <v>2028</v>
      </c>
      <c r="AY28">
        <v>2014</v>
      </c>
      <c r="AZ28">
        <v>2017</v>
      </c>
      <c r="BA28">
        <v>2023</v>
      </c>
      <c r="BB28">
        <v>2036</v>
      </c>
      <c r="BC28">
        <v>2047</v>
      </c>
      <c r="BD28">
        <v>2052</v>
      </c>
      <c r="BE28">
        <v>2056</v>
      </c>
      <c r="BF28">
        <v>2056</v>
      </c>
      <c r="BG28">
        <v>2053</v>
      </c>
      <c r="BH28">
        <v>2051</v>
      </c>
      <c r="BI28">
        <v>2046</v>
      </c>
      <c r="BJ28">
        <v>2046</v>
      </c>
      <c r="BK28">
        <v>2046</v>
      </c>
      <c r="BL28">
        <v>2053</v>
      </c>
      <c r="BM28">
        <v>2057</v>
      </c>
      <c r="BN28">
        <v>2057</v>
      </c>
      <c r="BO28">
        <v>2055</v>
      </c>
      <c r="BP28">
        <v>2039</v>
      </c>
      <c r="BQ28">
        <v>2036</v>
      </c>
      <c r="BR28">
        <v>2042</v>
      </c>
      <c r="BS28">
        <v>2045</v>
      </c>
      <c r="BT28">
        <v>2045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x14ac:dyDescent="0.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2277</v>
      </c>
      <c r="W29">
        <v>2269</v>
      </c>
      <c r="X29">
        <v>2250</v>
      </c>
      <c r="Y29">
        <v>2225</v>
      </c>
      <c r="Z29">
        <v>2207</v>
      </c>
      <c r="AA29">
        <v>2194</v>
      </c>
      <c r="AB29">
        <v>2181</v>
      </c>
      <c r="AC29">
        <v>2170</v>
      </c>
      <c r="AD29">
        <v>2159</v>
      </c>
      <c r="AE29">
        <v>2151</v>
      </c>
      <c r="AF29">
        <v>2147</v>
      </c>
      <c r="AG29">
        <v>2138</v>
      </c>
      <c r="AH29">
        <v>2127</v>
      </c>
      <c r="AI29">
        <v>2115</v>
      </c>
      <c r="AJ29">
        <v>2099</v>
      </c>
      <c r="AK29">
        <v>2086</v>
      </c>
      <c r="AL29">
        <v>2076</v>
      </c>
      <c r="AM29">
        <v>2067</v>
      </c>
      <c r="AN29">
        <v>2060</v>
      </c>
      <c r="AO29">
        <v>2053</v>
      </c>
      <c r="AP29">
        <v>2051</v>
      </c>
      <c r="AQ29">
        <v>2051</v>
      </c>
      <c r="AR29">
        <v>2051</v>
      </c>
      <c r="AS29">
        <v>2051</v>
      </c>
      <c r="AT29">
        <v>2049</v>
      </c>
      <c r="AU29">
        <v>2050</v>
      </c>
      <c r="AV29">
        <v>2045</v>
      </c>
      <c r="AW29">
        <v>2039</v>
      </c>
      <c r="AX29">
        <v>2028</v>
      </c>
      <c r="AY29">
        <v>2016</v>
      </c>
      <c r="AZ29">
        <v>2009</v>
      </c>
      <c r="BA29">
        <v>2017</v>
      </c>
      <c r="BB29">
        <v>2029</v>
      </c>
      <c r="BC29">
        <v>2038</v>
      </c>
      <c r="BD29">
        <v>2041</v>
      </c>
      <c r="BE29">
        <v>2046</v>
      </c>
      <c r="BF29">
        <v>2045</v>
      </c>
      <c r="BG29">
        <v>2046</v>
      </c>
      <c r="BH29">
        <v>2046</v>
      </c>
      <c r="BI29">
        <v>2039</v>
      </c>
      <c r="BJ29">
        <v>2039</v>
      </c>
      <c r="BK29">
        <v>2040</v>
      </c>
      <c r="BL29">
        <v>2049</v>
      </c>
      <c r="BM29">
        <v>2057</v>
      </c>
      <c r="BN29">
        <v>2056</v>
      </c>
      <c r="BO29">
        <v>2052</v>
      </c>
      <c r="BP29">
        <v>2042</v>
      </c>
      <c r="BQ29">
        <v>2029</v>
      </c>
      <c r="BR29">
        <v>2037</v>
      </c>
      <c r="BS29">
        <v>2040</v>
      </c>
      <c r="BT29">
        <v>2040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x14ac:dyDescent="0.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2312</v>
      </c>
      <c r="U30">
        <v>2283</v>
      </c>
      <c r="V30">
        <v>2263</v>
      </c>
      <c r="W30">
        <v>2245</v>
      </c>
      <c r="X30">
        <v>2223</v>
      </c>
      <c r="Y30">
        <v>2202</v>
      </c>
      <c r="Z30">
        <v>2188</v>
      </c>
      <c r="AA30">
        <v>2177</v>
      </c>
      <c r="AB30">
        <v>2168</v>
      </c>
      <c r="AC30">
        <v>2158</v>
      </c>
      <c r="AD30">
        <v>2150</v>
      </c>
      <c r="AE30">
        <v>2146</v>
      </c>
      <c r="AF30">
        <v>2135</v>
      </c>
      <c r="AG30">
        <v>2125</v>
      </c>
      <c r="AH30">
        <v>2117</v>
      </c>
      <c r="AI30">
        <v>2105</v>
      </c>
      <c r="AJ30">
        <v>2091</v>
      </c>
      <c r="AK30">
        <v>2076</v>
      </c>
      <c r="AL30">
        <v>2064</v>
      </c>
      <c r="AM30">
        <v>2057</v>
      </c>
      <c r="AN30">
        <v>2051</v>
      </c>
      <c r="AO30">
        <v>2051</v>
      </c>
      <c r="AP30">
        <v>2051</v>
      </c>
      <c r="AQ30">
        <v>2051</v>
      </c>
      <c r="AR30">
        <v>2051</v>
      </c>
      <c r="AS30">
        <v>2051</v>
      </c>
      <c r="AT30">
        <v>2047</v>
      </c>
      <c r="AU30">
        <v>2043</v>
      </c>
      <c r="AV30">
        <v>2039</v>
      </c>
      <c r="AW30">
        <v>2034</v>
      </c>
      <c r="AX30">
        <v>2027</v>
      </c>
      <c r="AY30">
        <v>2014</v>
      </c>
      <c r="AZ30">
        <v>2004</v>
      </c>
      <c r="BA30">
        <v>2012</v>
      </c>
      <c r="BB30">
        <v>2026</v>
      </c>
      <c r="BC30">
        <v>2029</v>
      </c>
      <c r="BD30">
        <v>2030</v>
      </c>
      <c r="BE30">
        <v>2034</v>
      </c>
      <c r="BF30">
        <v>2034</v>
      </c>
      <c r="BG30">
        <v>2039</v>
      </c>
      <c r="BH30">
        <v>2040</v>
      </c>
      <c r="BI30">
        <v>2034</v>
      </c>
      <c r="BJ30">
        <v>2032</v>
      </c>
      <c r="BK30">
        <v>2035</v>
      </c>
      <c r="BL30">
        <v>2044</v>
      </c>
      <c r="BM30">
        <v>2053</v>
      </c>
      <c r="BN30">
        <v>2050</v>
      </c>
      <c r="BO30">
        <v>2045</v>
      </c>
      <c r="BP30">
        <v>2041</v>
      </c>
      <c r="BQ30">
        <v>2023</v>
      </c>
      <c r="BR30">
        <v>2027</v>
      </c>
      <c r="BS30">
        <v>2036</v>
      </c>
      <c r="BT30">
        <v>2036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x14ac:dyDescent="0.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2318</v>
      </c>
      <c r="T31">
        <v>2297</v>
      </c>
      <c r="U31">
        <v>2271</v>
      </c>
      <c r="V31">
        <v>2243</v>
      </c>
      <c r="W31">
        <v>2219</v>
      </c>
      <c r="X31">
        <v>2202</v>
      </c>
      <c r="Y31">
        <v>2185</v>
      </c>
      <c r="Z31">
        <v>2174</v>
      </c>
      <c r="AA31">
        <v>2166</v>
      </c>
      <c r="AB31">
        <v>2156</v>
      </c>
      <c r="AC31">
        <v>2147</v>
      </c>
      <c r="AD31">
        <v>2140</v>
      </c>
      <c r="AE31">
        <v>2135</v>
      </c>
      <c r="AF31">
        <v>2128</v>
      </c>
      <c r="AG31">
        <v>2114</v>
      </c>
      <c r="AH31">
        <v>2108</v>
      </c>
      <c r="AI31">
        <v>2100</v>
      </c>
      <c r="AJ31">
        <v>2085</v>
      </c>
      <c r="AK31">
        <v>2068</v>
      </c>
      <c r="AL31">
        <v>2057</v>
      </c>
      <c r="AM31">
        <v>2051</v>
      </c>
      <c r="AN31">
        <v>2051</v>
      </c>
      <c r="AO31">
        <v>2051</v>
      </c>
      <c r="AP31">
        <v>2051</v>
      </c>
      <c r="AQ31">
        <v>2051</v>
      </c>
      <c r="AR31">
        <v>2051</v>
      </c>
      <c r="AS31">
        <v>2051</v>
      </c>
      <c r="AT31">
        <v>2045</v>
      </c>
      <c r="AU31">
        <v>2034</v>
      </c>
      <c r="AV31">
        <v>2034</v>
      </c>
      <c r="AW31">
        <v>2029</v>
      </c>
      <c r="AX31">
        <v>2023</v>
      </c>
      <c r="AY31">
        <v>2010</v>
      </c>
      <c r="AZ31">
        <v>1999</v>
      </c>
      <c r="BA31">
        <v>2007</v>
      </c>
      <c r="BB31">
        <v>2019</v>
      </c>
      <c r="BC31">
        <v>2020</v>
      </c>
      <c r="BD31">
        <v>2020</v>
      </c>
      <c r="BE31">
        <v>2022</v>
      </c>
      <c r="BF31">
        <v>2026</v>
      </c>
      <c r="BG31">
        <v>2033</v>
      </c>
      <c r="BH31">
        <v>2033</v>
      </c>
      <c r="BI31">
        <v>2027</v>
      </c>
      <c r="BJ31">
        <v>2023</v>
      </c>
      <c r="BK31">
        <v>2030</v>
      </c>
      <c r="BL31">
        <v>2039</v>
      </c>
      <c r="BM31">
        <v>2046</v>
      </c>
      <c r="BN31">
        <v>2044</v>
      </c>
      <c r="BO31">
        <v>2038</v>
      </c>
      <c r="BP31">
        <v>2036</v>
      </c>
      <c r="BQ31">
        <v>2025</v>
      </c>
      <c r="BR31">
        <v>2011</v>
      </c>
      <c r="BS31">
        <v>2022</v>
      </c>
      <c r="BT31">
        <v>2029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x14ac:dyDescent="0.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2336</v>
      </c>
      <c r="R32">
        <v>2318</v>
      </c>
      <c r="S32">
        <v>2297</v>
      </c>
      <c r="T32">
        <v>2282</v>
      </c>
      <c r="U32">
        <v>2257</v>
      </c>
      <c r="V32">
        <v>2229</v>
      </c>
      <c r="W32">
        <v>2203</v>
      </c>
      <c r="X32">
        <v>2180</v>
      </c>
      <c r="Y32">
        <v>2170</v>
      </c>
      <c r="Z32">
        <v>2162</v>
      </c>
      <c r="AA32">
        <v>2154</v>
      </c>
      <c r="AB32">
        <v>2146</v>
      </c>
      <c r="AC32">
        <v>2138</v>
      </c>
      <c r="AD32">
        <v>2131</v>
      </c>
      <c r="AE32">
        <v>2125</v>
      </c>
      <c r="AF32">
        <v>2120</v>
      </c>
      <c r="AG32">
        <v>2109</v>
      </c>
      <c r="AH32">
        <v>2102</v>
      </c>
      <c r="AI32">
        <v>2094</v>
      </c>
      <c r="AJ32">
        <v>2081</v>
      </c>
      <c r="AK32">
        <v>2065</v>
      </c>
      <c r="AL32">
        <v>2051</v>
      </c>
      <c r="AM32">
        <v>2051</v>
      </c>
      <c r="AN32">
        <v>2051</v>
      </c>
      <c r="AO32">
        <v>2051</v>
      </c>
      <c r="AP32">
        <v>2051</v>
      </c>
      <c r="AQ32">
        <v>2051</v>
      </c>
      <c r="AR32">
        <v>2051</v>
      </c>
      <c r="AS32">
        <v>2051</v>
      </c>
      <c r="AT32">
        <v>2035</v>
      </c>
      <c r="AU32">
        <v>2027</v>
      </c>
      <c r="AV32">
        <v>2027</v>
      </c>
      <c r="AW32">
        <v>2026</v>
      </c>
      <c r="AX32">
        <v>2020</v>
      </c>
      <c r="AY32">
        <v>2007</v>
      </c>
      <c r="AZ32">
        <v>1997</v>
      </c>
      <c r="BA32">
        <v>1997</v>
      </c>
      <c r="BB32">
        <v>2003</v>
      </c>
      <c r="BC32">
        <v>2006</v>
      </c>
      <c r="BD32">
        <v>2009</v>
      </c>
      <c r="BE32">
        <v>2011</v>
      </c>
      <c r="BF32">
        <v>2018</v>
      </c>
      <c r="BG32">
        <v>2023</v>
      </c>
      <c r="BH32">
        <v>2023</v>
      </c>
      <c r="BI32">
        <v>2017</v>
      </c>
      <c r="BJ32">
        <v>2013</v>
      </c>
      <c r="BK32">
        <v>2023</v>
      </c>
      <c r="BL32">
        <v>2031</v>
      </c>
      <c r="BM32">
        <v>2039</v>
      </c>
      <c r="BN32">
        <v>2038</v>
      </c>
      <c r="BO32">
        <v>2032</v>
      </c>
      <c r="BP32">
        <v>2030</v>
      </c>
      <c r="BQ32">
        <v>2020</v>
      </c>
      <c r="BR32">
        <v>2005</v>
      </c>
      <c r="BS32">
        <v>2015</v>
      </c>
      <c r="BT32">
        <v>2025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x14ac:dyDescent="0.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2363</v>
      </c>
      <c r="Q33">
        <v>2326</v>
      </c>
      <c r="R33">
        <v>2301</v>
      </c>
      <c r="S33">
        <v>2284</v>
      </c>
      <c r="T33">
        <v>2270</v>
      </c>
      <c r="U33">
        <v>2248</v>
      </c>
      <c r="V33">
        <v>2222</v>
      </c>
      <c r="W33">
        <v>2192</v>
      </c>
      <c r="X33">
        <v>2168</v>
      </c>
      <c r="Y33">
        <v>2159</v>
      </c>
      <c r="Z33">
        <v>2153</v>
      </c>
      <c r="AA33">
        <v>2144</v>
      </c>
      <c r="AB33">
        <v>2136</v>
      </c>
      <c r="AC33">
        <v>2130</v>
      </c>
      <c r="AD33">
        <v>2123</v>
      </c>
      <c r="AE33">
        <v>2117</v>
      </c>
      <c r="AF33">
        <v>2113</v>
      </c>
      <c r="AG33">
        <v>2108</v>
      </c>
      <c r="AH33">
        <v>2100</v>
      </c>
      <c r="AI33">
        <v>2086</v>
      </c>
      <c r="AJ33">
        <v>2073</v>
      </c>
      <c r="AK33">
        <v>2060</v>
      </c>
      <c r="AL33">
        <v>2051</v>
      </c>
      <c r="AM33">
        <v>2051</v>
      </c>
      <c r="AN33">
        <v>2051</v>
      </c>
      <c r="AO33">
        <v>2051</v>
      </c>
      <c r="AP33">
        <v>2051</v>
      </c>
      <c r="AQ33">
        <v>2051</v>
      </c>
      <c r="AR33">
        <v>2051</v>
      </c>
      <c r="AS33">
        <v>2045</v>
      </c>
      <c r="AT33">
        <v>2030</v>
      </c>
      <c r="AU33">
        <v>2017</v>
      </c>
      <c r="AV33">
        <v>2019</v>
      </c>
      <c r="AW33">
        <v>2020</v>
      </c>
      <c r="AX33">
        <v>2015</v>
      </c>
      <c r="AY33">
        <v>2007</v>
      </c>
      <c r="AZ33">
        <v>1997</v>
      </c>
      <c r="BA33">
        <v>1991</v>
      </c>
      <c r="BB33">
        <v>1991</v>
      </c>
      <c r="BC33">
        <v>1994</v>
      </c>
      <c r="BD33">
        <v>1995</v>
      </c>
      <c r="BE33">
        <v>1999</v>
      </c>
      <c r="BF33">
        <v>2005</v>
      </c>
      <c r="BG33">
        <v>2008</v>
      </c>
      <c r="BH33">
        <v>2007</v>
      </c>
      <c r="BI33">
        <v>2004</v>
      </c>
      <c r="BJ33">
        <v>2005</v>
      </c>
      <c r="BK33">
        <v>2013</v>
      </c>
      <c r="BL33">
        <v>2022</v>
      </c>
      <c r="BM33">
        <v>2028</v>
      </c>
      <c r="BN33">
        <v>2027</v>
      </c>
      <c r="BO33">
        <v>2026</v>
      </c>
      <c r="BP33">
        <v>2025</v>
      </c>
      <c r="BQ33">
        <v>2010</v>
      </c>
      <c r="BR33">
        <v>2003</v>
      </c>
      <c r="BS33">
        <v>2015</v>
      </c>
      <c r="BT33">
        <v>2022</v>
      </c>
      <c r="BU33">
        <v>2023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x14ac:dyDescent="0.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2381</v>
      </c>
      <c r="P34">
        <v>2352</v>
      </c>
      <c r="Q34">
        <v>2317</v>
      </c>
      <c r="R34">
        <v>2291</v>
      </c>
      <c r="S34">
        <v>2277</v>
      </c>
      <c r="T34">
        <v>2265</v>
      </c>
      <c r="U34">
        <v>2243</v>
      </c>
      <c r="V34">
        <v>2217</v>
      </c>
      <c r="W34">
        <v>2192</v>
      </c>
      <c r="X34">
        <v>2169</v>
      </c>
      <c r="Y34">
        <v>2151</v>
      </c>
      <c r="Z34">
        <v>2143</v>
      </c>
      <c r="AA34">
        <v>2133</v>
      </c>
      <c r="AB34">
        <v>2128</v>
      </c>
      <c r="AC34">
        <v>2122</v>
      </c>
      <c r="AD34">
        <v>2116</v>
      </c>
      <c r="AE34">
        <v>2111</v>
      </c>
      <c r="AF34">
        <v>2107</v>
      </c>
      <c r="AG34">
        <v>2099</v>
      </c>
      <c r="AH34">
        <v>2092</v>
      </c>
      <c r="AI34">
        <v>2083</v>
      </c>
      <c r="AJ34">
        <v>2064</v>
      </c>
      <c r="AK34">
        <v>2054</v>
      </c>
      <c r="AL34">
        <v>2051</v>
      </c>
      <c r="AM34">
        <v>2051</v>
      </c>
      <c r="AN34">
        <v>2051</v>
      </c>
      <c r="AO34">
        <v>2051</v>
      </c>
      <c r="AP34">
        <v>2051</v>
      </c>
      <c r="AQ34">
        <v>2051</v>
      </c>
      <c r="AR34">
        <v>2051</v>
      </c>
      <c r="AS34">
        <v>2051</v>
      </c>
      <c r="AT34">
        <v>2011</v>
      </c>
      <c r="AU34">
        <v>2007</v>
      </c>
      <c r="AV34">
        <v>2001</v>
      </c>
      <c r="AW34">
        <v>2008</v>
      </c>
      <c r="AX34">
        <v>2007</v>
      </c>
      <c r="AY34">
        <v>2003</v>
      </c>
      <c r="AZ34">
        <v>1998</v>
      </c>
      <c r="BA34">
        <v>1991</v>
      </c>
      <c r="BB34">
        <v>1987</v>
      </c>
      <c r="BC34">
        <v>1985</v>
      </c>
      <c r="BD34">
        <v>1984</v>
      </c>
      <c r="BE34">
        <v>1986</v>
      </c>
      <c r="BF34">
        <v>1989</v>
      </c>
      <c r="BG34">
        <v>1992</v>
      </c>
      <c r="BH34">
        <v>1994</v>
      </c>
      <c r="BI34">
        <v>1989</v>
      </c>
      <c r="BJ34">
        <v>1997</v>
      </c>
      <c r="BK34">
        <v>2003</v>
      </c>
      <c r="BL34">
        <v>2011</v>
      </c>
      <c r="BM34">
        <v>2014</v>
      </c>
      <c r="BN34">
        <v>2011</v>
      </c>
      <c r="BO34">
        <v>2006</v>
      </c>
      <c r="BP34">
        <v>2006</v>
      </c>
      <c r="BQ34">
        <v>1986</v>
      </c>
      <c r="BR34">
        <v>1995</v>
      </c>
      <c r="BS34">
        <v>2005</v>
      </c>
      <c r="BT34">
        <v>2014</v>
      </c>
      <c r="BU34">
        <v>2016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x14ac:dyDescent="0.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2379</v>
      </c>
      <c r="O35">
        <v>2363</v>
      </c>
      <c r="P35">
        <v>2346</v>
      </c>
      <c r="Q35">
        <v>2318</v>
      </c>
      <c r="R35">
        <v>2281</v>
      </c>
      <c r="S35">
        <v>2270</v>
      </c>
      <c r="T35">
        <v>2258</v>
      </c>
      <c r="U35">
        <v>2234</v>
      </c>
      <c r="V35">
        <v>2214</v>
      </c>
      <c r="W35">
        <v>2193</v>
      </c>
      <c r="X35">
        <v>2172</v>
      </c>
      <c r="Y35">
        <v>2153</v>
      </c>
      <c r="Z35">
        <v>2141</v>
      </c>
      <c r="AA35">
        <v>2132</v>
      </c>
      <c r="AB35">
        <v>2124</v>
      </c>
      <c r="AC35">
        <v>2115</v>
      </c>
      <c r="AD35">
        <v>2110</v>
      </c>
      <c r="AE35">
        <v>2104</v>
      </c>
      <c r="AF35">
        <v>2099</v>
      </c>
      <c r="AG35">
        <v>2091</v>
      </c>
      <c r="AH35">
        <v>2081</v>
      </c>
      <c r="AI35">
        <v>2067</v>
      </c>
      <c r="AJ35">
        <v>2062</v>
      </c>
      <c r="AK35">
        <v>2054</v>
      </c>
      <c r="AL35">
        <v>2054</v>
      </c>
      <c r="AM35">
        <v>2066</v>
      </c>
      <c r="AN35">
        <v>2074</v>
      </c>
      <c r="AO35">
        <v>2074</v>
      </c>
      <c r="AP35">
        <v>2065</v>
      </c>
      <c r="AQ35">
        <v>2051</v>
      </c>
      <c r="AR35">
        <v>2051</v>
      </c>
      <c r="AS35">
        <v>2051</v>
      </c>
      <c r="AT35">
        <v>2014</v>
      </c>
      <c r="AU35">
        <v>2014</v>
      </c>
      <c r="AV35">
        <v>2006</v>
      </c>
      <c r="AW35">
        <v>1994</v>
      </c>
      <c r="AX35">
        <v>1990</v>
      </c>
      <c r="AY35">
        <v>1989</v>
      </c>
      <c r="AZ35">
        <v>1988</v>
      </c>
      <c r="BA35">
        <v>1989</v>
      </c>
      <c r="BB35">
        <v>1990</v>
      </c>
      <c r="BC35">
        <v>1982</v>
      </c>
      <c r="BD35">
        <v>1979</v>
      </c>
      <c r="BE35">
        <v>1980</v>
      </c>
      <c r="BF35">
        <v>1979</v>
      </c>
      <c r="BG35">
        <v>1980</v>
      </c>
      <c r="BH35">
        <v>1980</v>
      </c>
      <c r="BI35">
        <v>1981</v>
      </c>
      <c r="BJ35">
        <v>1989</v>
      </c>
      <c r="BK35">
        <v>1997</v>
      </c>
      <c r="BL35">
        <v>1999</v>
      </c>
      <c r="BM35">
        <v>2000</v>
      </c>
      <c r="BN35">
        <v>2001</v>
      </c>
      <c r="BO35">
        <v>1992</v>
      </c>
      <c r="BP35">
        <v>1986</v>
      </c>
      <c r="BQ35">
        <v>1973</v>
      </c>
      <c r="BR35">
        <v>1980</v>
      </c>
      <c r="BS35">
        <v>1991</v>
      </c>
      <c r="BT35">
        <v>2003</v>
      </c>
      <c r="BU35">
        <v>2014</v>
      </c>
      <c r="BV35">
        <v>2015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2362</v>
      </c>
      <c r="O36">
        <v>2350</v>
      </c>
      <c r="P36">
        <v>2338</v>
      </c>
      <c r="Q36">
        <v>2312</v>
      </c>
      <c r="R36">
        <v>2280</v>
      </c>
      <c r="S36">
        <v>2259</v>
      </c>
      <c r="T36">
        <v>2245</v>
      </c>
      <c r="U36">
        <v>2229</v>
      </c>
      <c r="V36">
        <v>2209</v>
      </c>
      <c r="W36">
        <v>2192</v>
      </c>
      <c r="X36">
        <v>2174</v>
      </c>
      <c r="Y36">
        <v>2160</v>
      </c>
      <c r="Z36">
        <v>2147</v>
      </c>
      <c r="AA36">
        <v>2134</v>
      </c>
      <c r="AB36">
        <v>2124</v>
      </c>
      <c r="AC36">
        <v>2115</v>
      </c>
      <c r="AD36">
        <v>2107</v>
      </c>
      <c r="AE36">
        <v>2098</v>
      </c>
      <c r="AF36">
        <v>2091</v>
      </c>
      <c r="AG36">
        <v>2084</v>
      </c>
      <c r="AH36">
        <v>2077</v>
      </c>
      <c r="AI36">
        <v>2074</v>
      </c>
      <c r="AJ36">
        <v>2065</v>
      </c>
      <c r="AK36">
        <v>2057</v>
      </c>
      <c r="AL36">
        <v>2062</v>
      </c>
      <c r="AM36">
        <v>2076</v>
      </c>
      <c r="AN36">
        <v>2079</v>
      </c>
      <c r="AO36">
        <v>2079</v>
      </c>
      <c r="AP36">
        <v>2068</v>
      </c>
      <c r="AQ36">
        <v>2051</v>
      </c>
      <c r="AR36">
        <v>2051</v>
      </c>
      <c r="AS36">
        <v>2040</v>
      </c>
      <c r="AT36">
        <v>2021</v>
      </c>
      <c r="AU36">
        <v>2019</v>
      </c>
      <c r="AV36">
        <v>2010</v>
      </c>
      <c r="AW36">
        <v>1998</v>
      </c>
      <c r="AX36">
        <v>1991</v>
      </c>
      <c r="AY36">
        <v>1988</v>
      </c>
      <c r="AZ36">
        <v>1984</v>
      </c>
      <c r="BA36">
        <v>1980</v>
      </c>
      <c r="BB36">
        <v>1982</v>
      </c>
      <c r="BC36">
        <v>1976</v>
      </c>
      <c r="BD36">
        <v>1975</v>
      </c>
      <c r="BE36">
        <v>1975</v>
      </c>
      <c r="BF36">
        <v>1974</v>
      </c>
      <c r="BG36">
        <v>1973</v>
      </c>
      <c r="BH36">
        <v>1973</v>
      </c>
      <c r="BI36">
        <v>1976</v>
      </c>
      <c r="BJ36">
        <v>1982</v>
      </c>
      <c r="BK36">
        <v>1988</v>
      </c>
      <c r="BL36">
        <v>1988</v>
      </c>
      <c r="BM36">
        <v>1985</v>
      </c>
      <c r="BN36">
        <v>1987</v>
      </c>
      <c r="BO36">
        <v>1979</v>
      </c>
      <c r="BP36">
        <v>1975</v>
      </c>
      <c r="BQ36">
        <v>1967</v>
      </c>
      <c r="BR36">
        <v>1968</v>
      </c>
      <c r="BS36">
        <v>1975</v>
      </c>
      <c r="BT36">
        <v>1990</v>
      </c>
      <c r="BU36">
        <v>2004</v>
      </c>
      <c r="BV36">
        <v>2007</v>
      </c>
      <c r="BW36">
        <v>2006</v>
      </c>
      <c r="BX36">
        <v>0</v>
      </c>
      <c r="BY36">
        <v>0</v>
      </c>
      <c r="BZ36">
        <v>0</v>
      </c>
      <c r="CA36">
        <v>0</v>
      </c>
    </row>
    <row r="37" spans="1:79" x14ac:dyDescent="0.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2367</v>
      </c>
      <c r="N37">
        <v>2354</v>
      </c>
      <c r="O37">
        <v>2343</v>
      </c>
      <c r="P37">
        <v>2329</v>
      </c>
      <c r="Q37">
        <v>2309</v>
      </c>
      <c r="R37">
        <v>2276</v>
      </c>
      <c r="S37">
        <v>2258</v>
      </c>
      <c r="T37">
        <v>2240</v>
      </c>
      <c r="U37">
        <v>2219</v>
      </c>
      <c r="V37">
        <v>2202</v>
      </c>
      <c r="W37">
        <v>2184</v>
      </c>
      <c r="X37">
        <v>2170</v>
      </c>
      <c r="Y37">
        <v>2160</v>
      </c>
      <c r="Z37">
        <v>2147</v>
      </c>
      <c r="AA37">
        <v>2134</v>
      </c>
      <c r="AB37">
        <v>2125</v>
      </c>
      <c r="AC37">
        <v>2120</v>
      </c>
      <c r="AD37">
        <v>2112</v>
      </c>
      <c r="AE37">
        <v>2101</v>
      </c>
      <c r="AF37">
        <v>2094</v>
      </c>
      <c r="AG37">
        <v>2089</v>
      </c>
      <c r="AH37">
        <v>2085</v>
      </c>
      <c r="AI37">
        <v>2082</v>
      </c>
      <c r="AJ37">
        <v>2072</v>
      </c>
      <c r="AK37">
        <v>2061</v>
      </c>
      <c r="AL37">
        <v>2065</v>
      </c>
      <c r="AM37">
        <v>2075</v>
      </c>
      <c r="AN37">
        <v>2080</v>
      </c>
      <c r="AO37">
        <v>2077</v>
      </c>
      <c r="AP37">
        <v>2064</v>
      </c>
      <c r="AQ37">
        <v>2051</v>
      </c>
      <c r="AR37">
        <v>2040</v>
      </c>
      <c r="AS37">
        <v>2027</v>
      </c>
      <c r="AT37">
        <v>2028</v>
      </c>
      <c r="AU37">
        <v>2024</v>
      </c>
      <c r="AV37">
        <v>2009</v>
      </c>
      <c r="AW37">
        <v>2000</v>
      </c>
      <c r="AX37">
        <v>1995</v>
      </c>
      <c r="AY37">
        <v>1991</v>
      </c>
      <c r="AZ37">
        <v>1986</v>
      </c>
      <c r="BA37">
        <v>1983</v>
      </c>
      <c r="BB37">
        <v>1980</v>
      </c>
      <c r="BC37">
        <v>1978</v>
      </c>
      <c r="BD37">
        <v>1975</v>
      </c>
      <c r="BE37">
        <v>1973</v>
      </c>
      <c r="BF37">
        <v>1972</v>
      </c>
      <c r="BG37">
        <v>1972</v>
      </c>
      <c r="BH37">
        <v>1970</v>
      </c>
      <c r="BI37">
        <v>1971</v>
      </c>
      <c r="BJ37">
        <v>1976</v>
      </c>
      <c r="BK37">
        <v>1978</v>
      </c>
      <c r="BL37">
        <v>1977</v>
      </c>
      <c r="BM37">
        <v>1974</v>
      </c>
      <c r="BN37">
        <v>1969</v>
      </c>
      <c r="BO37">
        <v>1964</v>
      </c>
      <c r="BP37">
        <v>1960</v>
      </c>
      <c r="BQ37">
        <v>1959</v>
      </c>
      <c r="BR37">
        <v>1960</v>
      </c>
      <c r="BS37">
        <v>1964</v>
      </c>
      <c r="BT37">
        <v>1972</v>
      </c>
      <c r="BU37">
        <v>1979</v>
      </c>
      <c r="BV37">
        <v>1982</v>
      </c>
      <c r="BW37">
        <v>1983</v>
      </c>
      <c r="BX37">
        <v>0</v>
      </c>
      <c r="BY37">
        <v>0</v>
      </c>
      <c r="BZ37">
        <v>0</v>
      </c>
      <c r="CA37">
        <v>0</v>
      </c>
    </row>
    <row r="38" spans="1:79" x14ac:dyDescent="0.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2394</v>
      </c>
      <c r="L38">
        <v>2373</v>
      </c>
      <c r="M38">
        <v>2361</v>
      </c>
      <c r="N38">
        <v>2347</v>
      </c>
      <c r="O38">
        <v>2336</v>
      </c>
      <c r="P38">
        <v>2324</v>
      </c>
      <c r="Q38">
        <v>2306</v>
      </c>
      <c r="R38">
        <v>2278</v>
      </c>
      <c r="S38">
        <v>2265</v>
      </c>
      <c r="T38">
        <v>2242</v>
      </c>
      <c r="U38">
        <v>2226</v>
      </c>
      <c r="V38">
        <v>2212</v>
      </c>
      <c r="W38">
        <v>2193</v>
      </c>
      <c r="X38">
        <v>2172</v>
      </c>
      <c r="Y38">
        <v>2166</v>
      </c>
      <c r="Z38">
        <v>2155</v>
      </c>
      <c r="AA38">
        <v>2141</v>
      </c>
      <c r="AB38">
        <v>2130</v>
      </c>
      <c r="AC38">
        <v>2125</v>
      </c>
      <c r="AD38">
        <v>2117</v>
      </c>
      <c r="AE38">
        <v>2107</v>
      </c>
      <c r="AF38">
        <v>2103</v>
      </c>
      <c r="AG38">
        <v>2099</v>
      </c>
      <c r="AH38">
        <v>2093</v>
      </c>
      <c r="AI38">
        <v>2090</v>
      </c>
      <c r="AJ38">
        <v>2080</v>
      </c>
      <c r="AK38">
        <v>2067</v>
      </c>
      <c r="AL38">
        <v>2067</v>
      </c>
      <c r="AM38">
        <v>2073</v>
      </c>
      <c r="AN38">
        <v>2081</v>
      </c>
      <c r="AO38">
        <v>2074</v>
      </c>
      <c r="AP38">
        <v>2058</v>
      </c>
      <c r="AQ38">
        <v>2049</v>
      </c>
      <c r="AR38">
        <v>2041</v>
      </c>
      <c r="AS38">
        <v>2035</v>
      </c>
      <c r="AT38">
        <v>2037</v>
      </c>
      <c r="AU38">
        <v>2032</v>
      </c>
      <c r="AV38">
        <v>2017</v>
      </c>
      <c r="AW38">
        <v>2006</v>
      </c>
      <c r="AX38">
        <v>1999</v>
      </c>
      <c r="AY38">
        <v>1994</v>
      </c>
      <c r="AZ38">
        <v>1989</v>
      </c>
      <c r="BA38">
        <v>1986</v>
      </c>
      <c r="BB38">
        <v>1984</v>
      </c>
      <c r="BC38">
        <v>1982</v>
      </c>
      <c r="BD38">
        <v>1978</v>
      </c>
      <c r="BE38">
        <v>1975</v>
      </c>
      <c r="BF38">
        <v>1974</v>
      </c>
      <c r="BG38">
        <v>1972</v>
      </c>
      <c r="BH38">
        <v>1971</v>
      </c>
      <c r="BI38">
        <v>1967</v>
      </c>
      <c r="BJ38">
        <v>1963</v>
      </c>
      <c r="BK38">
        <v>1963</v>
      </c>
      <c r="BL38">
        <v>1963</v>
      </c>
      <c r="BM38">
        <v>1963</v>
      </c>
      <c r="BN38">
        <v>1960</v>
      </c>
      <c r="BO38">
        <v>1958</v>
      </c>
      <c r="BP38">
        <v>1955</v>
      </c>
      <c r="BQ38">
        <v>1953</v>
      </c>
      <c r="BR38">
        <v>1951</v>
      </c>
      <c r="BS38">
        <v>1950</v>
      </c>
      <c r="BT38">
        <v>1953</v>
      </c>
      <c r="BU38">
        <v>1957</v>
      </c>
      <c r="BV38">
        <v>1959</v>
      </c>
      <c r="BW38">
        <v>1962</v>
      </c>
      <c r="BX38">
        <v>1958</v>
      </c>
      <c r="BY38">
        <v>0</v>
      </c>
      <c r="BZ38">
        <v>0</v>
      </c>
      <c r="CA38">
        <v>0</v>
      </c>
    </row>
    <row r="39" spans="1:79" x14ac:dyDescent="0.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2460</v>
      </c>
      <c r="I39">
        <v>2433</v>
      </c>
      <c r="J39">
        <v>2413</v>
      </c>
      <c r="K39">
        <v>2389</v>
      </c>
      <c r="L39">
        <v>2372</v>
      </c>
      <c r="M39">
        <v>2354</v>
      </c>
      <c r="N39">
        <v>2342</v>
      </c>
      <c r="O39">
        <v>2333</v>
      </c>
      <c r="P39">
        <v>2321</v>
      </c>
      <c r="Q39">
        <v>2304</v>
      </c>
      <c r="R39">
        <v>2287</v>
      </c>
      <c r="S39">
        <v>2271</v>
      </c>
      <c r="T39">
        <v>2257</v>
      </c>
      <c r="U39">
        <v>2233</v>
      </c>
      <c r="V39">
        <v>2216</v>
      </c>
      <c r="W39">
        <v>2196</v>
      </c>
      <c r="X39">
        <v>2181</v>
      </c>
      <c r="Y39">
        <v>2177</v>
      </c>
      <c r="Z39">
        <v>2166</v>
      </c>
      <c r="AA39">
        <v>2147</v>
      </c>
      <c r="AB39">
        <v>2137</v>
      </c>
      <c r="AC39">
        <v>2131</v>
      </c>
      <c r="AD39">
        <v>2120</v>
      </c>
      <c r="AE39">
        <v>2115</v>
      </c>
      <c r="AF39">
        <v>2111</v>
      </c>
      <c r="AG39">
        <v>2103</v>
      </c>
      <c r="AH39">
        <v>2097</v>
      </c>
      <c r="AI39">
        <v>2096</v>
      </c>
      <c r="AJ39">
        <v>2086</v>
      </c>
      <c r="AK39">
        <v>2072</v>
      </c>
      <c r="AL39">
        <v>2071</v>
      </c>
      <c r="AM39">
        <v>2075</v>
      </c>
      <c r="AN39">
        <v>2084</v>
      </c>
      <c r="AO39">
        <v>2080</v>
      </c>
      <c r="AP39">
        <v>2061</v>
      </c>
      <c r="AQ39">
        <v>2054</v>
      </c>
      <c r="AR39">
        <v>2045</v>
      </c>
      <c r="AS39">
        <v>2046</v>
      </c>
      <c r="AT39">
        <v>2050</v>
      </c>
      <c r="AU39">
        <v>2047</v>
      </c>
      <c r="AV39">
        <v>2035</v>
      </c>
      <c r="AW39">
        <v>2015</v>
      </c>
      <c r="AX39">
        <v>2004</v>
      </c>
      <c r="AY39">
        <v>1999</v>
      </c>
      <c r="AZ39">
        <v>1993</v>
      </c>
      <c r="BA39">
        <v>1990</v>
      </c>
      <c r="BB39">
        <v>1989</v>
      </c>
      <c r="BC39">
        <v>1987</v>
      </c>
      <c r="BD39">
        <v>1985</v>
      </c>
      <c r="BE39">
        <v>1982</v>
      </c>
      <c r="BF39">
        <v>1979</v>
      </c>
      <c r="BG39">
        <v>1976</v>
      </c>
      <c r="BH39">
        <v>1974</v>
      </c>
      <c r="BI39">
        <v>1973</v>
      </c>
      <c r="BJ39">
        <v>1977</v>
      </c>
      <c r="BK39">
        <v>1985</v>
      </c>
      <c r="BL39">
        <v>1991</v>
      </c>
      <c r="BM39">
        <v>1983</v>
      </c>
      <c r="BN39">
        <v>1969</v>
      </c>
      <c r="BO39">
        <v>1962</v>
      </c>
      <c r="BP39">
        <v>1953</v>
      </c>
      <c r="BQ39">
        <v>1948</v>
      </c>
      <c r="BR39">
        <v>1946</v>
      </c>
      <c r="BS39">
        <v>1942</v>
      </c>
      <c r="BT39">
        <v>1942</v>
      </c>
      <c r="BU39">
        <v>1942</v>
      </c>
      <c r="BV39">
        <v>1944</v>
      </c>
      <c r="BW39">
        <v>1943</v>
      </c>
      <c r="BX39">
        <v>1940</v>
      </c>
      <c r="BY39">
        <v>0</v>
      </c>
      <c r="BZ39">
        <v>0</v>
      </c>
      <c r="CA39">
        <v>0</v>
      </c>
    </row>
    <row r="40" spans="1:79" x14ac:dyDescent="0.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2484</v>
      </c>
      <c r="H40">
        <v>2462</v>
      </c>
      <c r="I40">
        <v>2433</v>
      </c>
      <c r="J40">
        <v>2410</v>
      </c>
      <c r="K40">
        <v>2388</v>
      </c>
      <c r="L40">
        <v>2368</v>
      </c>
      <c r="M40">
        <v>2355</v>
      </c>
      <c r="N40">
        <v>2344</v>
      </c>
      <c r="O40">
        <v>2333</v>
      </c>
      <c r="P40">
        <v>2323</v>
      </c>
      <c r="Q40">
        <v>2311</v>
      </c>
      <c r="R40">
        <v>2296</v>
      </c>
      <c r="S40">
        <v>2281</v>
      </c>
      <c r="T40">
        <v>2261</v>
      </c>
      <c r="U40">
        <v>2238</v>
      </c>
      <c r="V40">
        <v>2218</v>
      </c>
      <c r="W40">
        <v>2202</v>
      </c>
      <c r="X40">
        <v>2198</v>
      </c>
      <c r="Y40">
        <v>2197</v>
      </c>
      <c r="Z40">
        <v>2177</v>
      </c>
      <c r="AA40">
        <v>2162</v>
      </c>
      <c r="AB40">
        <v>2150</v>
      </c>
      <c r="AC40">
        <v>2138</v>
      </c>
      <c r="AD40">
        <v>2127</v>
      </c>
      <c r="AE40">
        <v>2124</v>
      </c>
      <c r="AF40">
        <v>2116</v>
      </c>
      <c r="AG40">
        <v>2110</v>
      </c>
      <c r="AH40">
        <v>2105</v>
      </c>
      <c r="AI40">
        <v>2101</v>
      </c>
      <c r="AJ40">
        <v>2091</v>
      </c>
      <c r="AK40">
        <v>2074</v>
      </c>
      <c r="AL40">
        <v>2078</v>
      </c>
      <c r="AM40">
        <v>2087</v>
      </c>
      <c r="AN40">
        <v>2090</v>
      </c>
      <c r="AO40">
        <v>2089</v>
      </c>
      <c r="AP40">
        <v>2080</v>
      </c>
      <c r="AQ40">
        <v>2063</v>
      </c>
      <c r="AR40">
        <v>2052</v>
      </c>
      <c r="AS40">
        <v>2054</v>
      </c>
      <c r="AT40">
        <v>2064</v>
      </c>
      <c r="AU40">
        <v>2059</v>
      </c>
      <c r="AV40">
        <v>2044</v>
      </c>
      <c r="AW40">
        <v>2023</v>
      </c>
      <c r="AX40">
        <v>2014</v>
      </c>
      <c r="AY40">
        <v>2005</v>
      </c>
      <c r="AZ40">
        <v>2000</v>
      </c>
      <c r="BA40">
        <v>2000</v>
      </c>
      <c r="BB40">
        <v>1997</v>
      </c>
      <c r="BC40">
        <v>1998</v>
      </c>
      <c r="BD40">
        <v>1999</v>
      </c>
      <c r="BE40">
        <v>1996</v>
      </c>
      <c r="BF40">
        <v>1999</v>
      </c>
      <c r="BG40">
        <v>1994</v>
      </c>
      <c r="BH40">
        <v>1980</v>
      </c>
      <c r="BI40">
        <v>1978</v>
      </c>
      <c r="BJ40">
        <v>1987</v>
      </c>
      <c r="BK40">
        <v>2001</v>
      </c>
      <c r="BL40">
        <v>2006</v>
      </c>
      <c r="BM40">
        <v>2008</v>
      </c>
      <c r="BN40">
        <v>2005</v>
      </c>
      <c r="BO40">
        <v>1989</v>
      </c>
      <c r="BP40">
        <v>1961</v>
      </c>
      <c r="BQ40">
        <v>1954</v>
      </c>
      <c r="BR40">
        <v>1949</v>
      </c>
      <c r="BS40">
        <v>1945</v>
      </c>
      <c r="BT40">
        <v>1941</v>
      </c>
      <c r="BU40">
        <v>1938</v>
      </c>
      <c r="BV40">
        <v>1936</v>
      </c>
      <c r="BW40">
        <v>1934</v>
      </c>
      <c r="BX40">
        <v>1933</v>
      </c>
      <c r="BY40">
        <v>0</v>
      </c>
      <c r="BZ40">
        <v>0</v>
      </c>
      <c r="CA40">
        <v>0</v>
      </c>
    </row>
    <row r="41" spans="1:79" x14ac:dyDescent="0.5">
      <c r="A41">
        <v>0</v>
      </c>
      <c r="B41">
        <v>0</v>
      </c>
      <c r="C41">
        <v>0</v>
      </c>
      <c r="D41">
        <v>0</v>
      </c>
      <c r="E41">
        <v>0</v>
      </c>
      <c r="F41">
        <v>2518</v>
      </c>
      <c r="G41">
        <v>2502</v>
      </c>
      <c r="H41">
        <v>2467</v>
      </c>
      <c r="I41">
        <v>2443</v>
      </c>
      <c r="J41">
        <v>2418</v>
      </c>
      <c r="K41">
        <v>2393</v>
      </c>
      <c r="L41">
        <v>2373</v>
      </c>
      <c r="M41">
        <v>2357</v>
      </c>
      <c r="N41">
        <v>2346</v>
      </c>
      <c r="O41">
        <v>2340</v>
      </c>
      <c r="P41">
        <v>2332</v>
      </c>
      <c r="Q41">
        <v>2322</v>
      </c>
      <c r="R41">
        <v>2309</v>
      </c>
      <c r="S41">
        <v>2283</v>
      </c>
      <c r="T41">
        <v>2264</v>
      </c>
      <c r="U41">
        <v>2248</v>
      </c>
      <c r="V41">
        <v>2228</v>
      </c>
      <c r="W41">
        <v>2215</v>
      </c>
      <c r="X41">
        <v>2211</v>
      </c>
      <c r="Y41">
        <v>2207</v>
      </c>
      <c r="Z41">
        <v>2194</v>
      </c>
      <c r="AA41">
        <v>2173</v>
      </c>
      <c r="AB41">
        <v>2159</v>
      </c>
      <c r="AC41">
        <v>2142</v>
      </c>
      <c r="AD41">
        <v>2138</v>
      </c>
      <c r="AE41">
        <v>2129</v>
      </c>
      <c r="AF41">
        <v>2121</v>
      </c>
      <c r="AG41">
        <v>2114</v>
      </c>
      <c r="AH41">
        <v>2109</v>
      </c>
      <c r="AI41">
        <v>2104</v>
      </c>
      <c r="AJ41">
        <v>2093</v>
      </c>
      <c r="AK41">
        <v>2080</v>
      </c>
      <c r="AL41">
        <v>2090</v>
      </c>
      <c r="AM41">
        <v>2099</v>
      </c>
      <c r="AN41">
        <v>2100</v>
      </c>
      <c r="AO41">
        <v>2096</v>
      </c>
      <c r="AP41">
        <v>2090</v>
      </c>
      <c r="AQ41">
        <v>2075</v>
      </c>
      <c r="AR41">
        <v>2062</v>
      </c>
      <c r="AS41">
        <v>2060</v>
      </c>
      <c r="AT41">
        <v>2076</v>
      </c>
      <c r="AU41">
        <v>2071</v>
      </c>
      <c r="AV41">
        <v>2054</v>
      </c>
      <c r="AW41">
        <v>2039</v>
      </c>
      <c r="AX41">
        <v>2022</v>
      </c>
      <c r="AY41">
        <v>2016</v>
      </c>
      <c r="AZ41">
        <v>2012</v>
      </c>
      <c r="BA41">
        <v>2014</v>
      </c>
      <c r="BB41">
        <v>2013</v>
      </c>
      <c r="BC41">
        <v>2012</v>
      </c>
      <c r="BD41">
        <v>2019</v>
      </c>
      <c r="BE41">
        <v>2012</v>
      </c>
      <c r="BF41">
        <v>2017</v>
      </c>
      <c r="BG41">
        <v>2002</v>
      </c>
      <c r="BH41">
        <v>1989</v>
      </c>
      <c r="BI41">
        <v>1985</v>
      </c>
      <c r="BJ41">
        <v>1996</v>
      </c>
      <c r="BK41">
        <v>2007</v>
      </c>
      <c r="BL41">
        <v>2014</v>
      </c>
      <c r="BM41">
        <v>2017</v>
      </c>
      <c r="BN41">
        <v>2017</v>
      </c>
      <c r="BO41">
        <v>2002</v>
      </c>
      <c r="BP41">
        <v>1975</v>
      </c>
      <c r="BQ41">
        <v>1962</v>
      </c>
      <c r="BR41">
        <v>1954</v>
      </c>
      <c r="BS41">
        <v>1962</v>
      </c>
      <c r="BT41">
        <v>1962</v>
      </c>
      <c r="BU41">
        <v>1962</v>
      </c>
      <c r="BV41">
        <v>1962</v>
      </c>
      <c r="BW41">
        <v>1962</v>
      </c>
      <c r="BX41">
        <v>0</v>
      </c>
      <c r="BY41">
        <v>0</v>
      </c>
      <c r="BZ41">
        <v>0</v>
      </c>
      <c r="CA41">
        <v>0</v>
      </c>
    </row>
    <row r="42" spans="1:79" x14ac:dyDescent="0.5">
      <c r="A42">
        <v>0</v>
      </c>
      <c r="B42">
        <v>0</v>
      </c>
      <c r="C42">
        <v>0</v>
      </c>
      <c r="D42">
        <v>0</v>
      </c>
      <c r="E42">
        <v>0</v>
      </c>
      <c r="F42">
        <v>2535</v>
      </c>
      <c r="G42">
        <v>2523</v>
      </c>
      <c r="H42">
        <v>2491</v>
      </c>
      <c r="I42">
        <v>2463</v>
      </c>
      <c r="J42">
        <v>2432</v>
      </c>
      <c r="K42">
        <v>2399</v>
      </c>
      <c r="L42">
        <v>2378</v>
      </c>
      <c r="M42">
        <v>2366</v>
      </c>
      <c r="N42">
        <v>2356</v>
      </c>
      <c r="O42">
        <v>2357</v>
      </c>
      <c r="P42">
        <v>2352</v>
      </c>
      <c r="Q42">
        <v>2345</v>
      </c>
      <c r="R42">
        <v>2325</v>
      </c>
      <c r="S42">
        <v>2294</v>
      </c>
      <c r="T42">
        <v>2272</v>
      </c>
      <c r="U42">
        <v>2254</v>
      </c>
      <c r="V42">
        <v>2240</v>
      </c>
      <c r="W42">
        <v>2222</v>
      </c>
      <c r="X42">
        <v>2208</v>
      </c>
      <c r="Y42">
        <v>2200</v>
      </c>
      <c r="Z42">
        <v>2188</v>
      </c>
      <c r="AA42">
        <v>2170</v>
      </c>
      <c r="AB42">
        <v>2159</v>
      </c>
      <c r="AC42">
        <v>2152</v>
      </c>
      <c r="AD42">
        <v>2143</v>
      </c>
      <c r="AE42">
        <v>2133</v>
      </c>
      <c r="AF42">
        <v>2123</v>
      </c>
      <c r="AG42">
        <v>2119</v>
      </c>
      <c r="AH42">
        <v>2114</v>
      </c>
      <c r="AI42">
        <v>2107</v>
      </c>
      <c r="AJ42">
        <v>2094</v>
      </c>
      <c r="AK42">
        <v>2090</v>
      </c>
      <c r="AL42">
        <v>2106</v>
      </c>
      <c r="AM42">
        <v>2111</v>
      </c>
      <c r="AN42">
        <v>2108</v>
      </c>
      <c r="AO42">
        <v>2105</v>
      </c>
      <c r="AP42">
        <v>2096</v>
      </c>
      <c r="AQ42">
        <v>2083</v>
      </c>
      <c r="AR42">
        <v>2075</v>
      </c>
      <c r="AS42">
        <v>2070</v>
      </c>
      <c r="AT42">
        <v>2072</v>
      </c>
      <c r="AU42">
        <v>2082</v>
      </c>
      <c r="AV42">
        <v>2076</v>
      </c>
      <c r="AW42">
        <v>2063</v>
      </c>
      <c r="AX42">
        <v>2035</v>
      </c>
      <c r="AY42">
        <v>2031</v>
      </c>
      <c r="AZ42">
        <v>2029</v>
      </c>
      <c r="BA42">
        <v>2032</v>
      </c>
      <c r="BB42">
        <v>2034</v>
      </c>
      <c r="BC42">
        <v>2034</v>
      </c>
      <c r="BD42">
        <v>2034</v>
      </c>
      <c r="BE42">
        <v>2030</v>
      </c>
      <c r="BF42">
        <v>2020</v>
      </c>
      <c r="BG42">
        <v>2005</v>
      </c>
      <c r="BH42">
        <v>1995</v>
      </c>
      <c r="BI42">
        <v>1993</v>
      </c>
      <c r="BJ42">
        <v>2004</v>
      </c>
      <c r="BK42">
        <v>2015</v>
      </c>
      <c r="BL42">
        <v>2021</v>
      </c>
      <c r="BM42">
        <v>2023</v>
      </c>
      <c r="BN42">
        <v>2017</v>
      </c>
      <c r="BO42">
        <v>2003</v>
      </c>
      <c r="BP42">
        <v>1982</v>
      </c>
      <c r="BQ42">
        <v>1967</v>
      </c>
      <c r="BR42">
        <v>1962</v>
      </c>
      <c r="BS42">
        <v>1961</v>
      </c>
      <c r="BT42">
        <v>1961</v>
      </c>
      <c r="BU42">
        <v>1961</v>
      </c>
      <c r="BV42">
        <v>1961</v>
      </c>
      <c r="BW42">
        <v>1962</v>
      </c>
      <c r="BX42">
        <v>0</v>
      </c>
      <c r="BY42">
        <v>0</v>
      </c>
      <c r="BZ42">
        <v>0</v>
      </c>
      <c r="CA42">
        <v>0</v>
      </c>
    </row>
    <row r="43" spans="1:79" x14ac:dyDescent="0.5">
      <c r="A43">
        <v>0</v>
      </c>
      <c r="B43">
        <v>0</v>
      </c>
      <c r="C43">
        <v>0</v>
      </c>
      <c r="D43">
        <v>0</v>
      </c>
      <c r="E43">
        <v>0</v>
      </c>
      <c r="F43">
        <v>2551</v>
      </c>
      <c r="G43">
        <v>2539</v>
      </c>
      <c r="H43">
        <v>2500</v>
      </c>
      <c r="I43">
        <v>2469</v>
      </c>
      <c r="J43">
        <v>2438</v>
      </c>
      <c r="K43">
        <v>2408</v>
      </c>
      <c r="L43">
        <v>2387</v>
      </c>
      <c r="M43">
        <v>2382</v>
      </c>
      <c r="N43">
        <v>2379</v>
      </c>
      <c r="O43">
        <v>2375</v>
      </c>
      <c r="P43">
        <v>2369</v>
      </c>
      <c r="Q43">
        <v>2363</v>
      </c>
      <c r="R43">
        <v>2343</v>
      </c>
      <c r="S43">
        <v>2316</v>
      </c>
      <c r="T43">
        <v>2282</v>
      </c>
      <c r="U43">
        <v>2264</v>
      </c>
      <c r="V43">
        <v>2249</v>
      </c>
      <c r="W43">
        <v>2231</v>
      </c>
      <c r="X43">
        <v>2222</v>
      </c>
      <c r="Y43">
        <v>2207</v>
      </c>
      <c r="Z43">
        <v>2196</v>
      </c>
      <c r="AA43">
        <v>2187</v>
      </c>
      <c r="AB43">
        <v>2178</v>
      </c>
      <c r="AC43">
        <v>2163</v>
      </c>
      <c r="AD43">
        <v>2147</v>
      </c>
      <c r="AE43">
        <v>2137</v>
      </c>
      <c r="AF43">
        <v>2132</v>
      </c>
      <c r="AG43">
        <v>2125</v>
      </c>
      <c r="AH43">
        <v>2118</v>
      </c>
      <c r="AI43">
        <v>2110</v>
      </c>
      <c r="AJ43">
        <v>2096</v>
      </c>
      <c r="AK43">
        <v>2099</v>
      </c>
      <c r="AL43">
        <v>2115</v>
      </c>
      <c r="AM43">
        <v>2120</v>
      </c>
      <c r="AN43">
        <v>2116</v>
      </c>
      <c r="AO43">
        <v>2115</v>
      </c>
      <c r="AP43">
        <v>2114</v>
      </c>
      <c r="AQ43">
        <v>2094</v>
      </c>
      <c r="AR43">
        <v>2083</v>
      </c>
      <c r="AS43">
        <v>2078</v>
      </c>
      <c r="AT43">
        <v>2080</v>
      </c>
      <c r="AU43">
        <v>2091</v>
      </c>
      <c r="AV43">
        <v>2091</v>
      </c>
      <c r="AW43">
        <v>2082</v>
      </c>
      <c r="AX43">
        <v>2060</v>
      </c>
      <c r="AY43">
        <v>2057</v>
      </c>
      <c r="AZ43">
        <v>2053</v>
      </c>
      <c r="BA43">
        <v>2055</v>
      </c>
      <c r="BB43">
        <v>2056</v>
      </c>
      <c r="BC43">
        <v>2053</v>
      </c>
      <c r="BD43">
        <v>2046</v>
      </c>
      <c r="BE43">
        <v>2036</v>
      </c>
      <c r="BF43">
        <v>2022</v>
      </c>
      <c r="BG43">
        <v>2013</v>
      </c>
      <c r="BH43">
        <v>2000</v>
      </c>
      <c r="BI43">
        <v>1999</v>
      </c>
      <c r="BJ43">
        <v>2009</v>
      </c>
      <c r="BK43">
        <v>2020</v>
      </c>
      <c r="BL43">
        <v>2028</v>
      </c>
      <c r="BM43">
        <v>2028</v>
      </c>
      <c r="BN43">
        <v>2020</v>
      </c>
      <c r="BO43">
        <v>1995</v>
      </c>
      <c r="BP43">
        <v>1987</v>
      </c>
      <c r="BQ43">
        <v>1971</v>
      </c>
      <c r="BR43">
        <v>1962</v>
      </c>
      <c r="BS43">
        <v>1961</v>
      </c>
      <c r="BT43">
        <v>1961</v>
      </c>
      <c r="BU43">
        <v>1961</v>
      </c>
      <c r="BV43">
        <v>1961</v>
      </c>
      <c r="BW43">
        <v>1962</v>
      </c>
      <c r="BX43">
        <v>0</v>
      </c>
      <c r="BY43">
        <v>0</v>
      </c>
      <c r="BZ43">
        <v>0</v>
      </c>
      <c r="CA43">
        <v>0</v>
      </c>
    </row>
    <row r="44" spans="1:79" x14ac:dyDescent="0.5">
      <c r="A44">
        <v>0</v>
      </c>
      <c r="B44">
        <v>0</v>
      </c>
      <c r="C44">
        <v>0</v>
      </c>
      <c r="D44">
        <v>0</v>
      </c>
      <c r="E44">
        <v>0</v>
      </c>
      <c r="F44">
        <v>2554</v>
      </c>
      <c r="G44">
        <v>2536</v>
      </c>
      <c r="H44">
        <v>2503</v>
      </c>
      <c r="I44">
        <v>2467</v>
      </c>
      <c r="J44">
        <v>2435</v>
      </c>
      <c r="K44">
        <v>2411</v>
      </c>
      <c r="L44">
        <v>2398</v>
      </c>
      <c r="M44">
        <v>2390</v>
      </c>
      <c r="N44">
        <v>2383</v>
      </c>
      <c r="O44">
        <v>2374</v>
      </c>
      <c r="P44">
        <v>2368</v>
      </c>
      <c r="Q44">
        <v>2363</v>
      </c>
      <c r="R44">
        <v>2356</v>
      </c>
      <c r="S44">
        <v>2333</v>
      </c>
      <c r="T44">
        <v>2306</v>
      </c>
      <c r="U44">
        <v>2278</v>
      </c>
      <c r="V44">
        <v>2250</v>
      </c>
      <c r="W44">
        <v>2254</v>
      </c>
      <c r="X44">
        <v>2242</v>
      </c>
      <c r="Y44">
        <v>2227</v>
      </c>
      <c r="Z44">
        <v>2213</v>
      </c>
      <c r="AA44">
        <v>2200</v>
      </c>
      <c r="AB44">
        <v>2189</v>
      </c>
      <c r="AC44">
        <v>2172</v>
      </c>
      <c r="AD44">
        <v>2152</v>
      </c>
      <c r="AE44">
        <v>2144</v>
      </c>
      <c r="AF44">
        <v>2139</v>
      </c>
      <c r="AG44">
        <v>2130</v>
      </c>
      <c r="AH44">
        <v>2122</v>
      </c>
      <c r="AI44">
        <v>2111</v>
      </c>
      <c r="AJ44">
        <v>2099</v>
      </c>
      <c r="AK44">
        <v>2106</v>
      </c>
      <c r="AL44">
        <v>2125</v>
      </c>
      <c r="AM44">
        <v>2133</v>
      </c>
      <c r="AN44">
        <v>2127</v>
      </c>
      <c r="AO44">
        <v>2121</v>
      </c>
      <c r="AP44">
        <v>2122</v>
      </c>
      <c r="AQ44">
        <v>2121</v>
      </c>
      <c r="AR44">
        <v>2105</v>
      </c>
      <c r="AS44">
        <v>2090</v>
      </c>
      <c r="AT44">
        <v>2091</v>
      </c>
      <c r="AU44">
        <v>2102</v>
      </c>
      <c r="AV44">
        <v>2102</v>
      </c>
      <c r="AW44">
        <v>2095</v>
      </c>
      <c r="AX44">
        <v>2090</v>
      </c>
      <c r="AY44">
        <v>2085</v>
      </c>
      <c r="AZ44">
        <v>2080</v>
      </c>
      <c r="BA44">
        <v>2079</v>
      </c>
      <c r="BB44">
        <v>2077</v>
      </c>
      <c r="BC44">
        <v>2068</v>
      </c>
      <c r="BD44">
        <v>2060</v>
      </c>
      <c r="BE44">
        <v>2045</v>
      </c>
      <c r="BF44">
        <v>2023</v>
      </c>
      <c r="BG44">
        <v>2017</v>
      </c>
      <c r="BH44">
        <v>2007</v>
      </c>
      <c r="BI44">
        <v>2006</v>
      </c>
      <c r="BJ44">
        <v>2011</v>
      </c>
      <c r="BK44">
        <v>2021</v>
      </c>
      <c r="BL44">
        <v>2031</v>
      </c>
      <c r="BM44">
        <v>2031</v>
      </c>
      <c r="BN44">
        <v>2021</v>
      </c>
      <c r="BO44">
        <v>1990</v>
      </c>
      <c r="BP44">
        <v>1961</v>
      </c>
      <c r="BQ44">
        <v>1961</v>
      </c>
      <c r="BR44">
        <v>1961</v>
      </c>
      <c r="BS44">
        <v>1961</v>
      </c>
      <c r="BT44">
        <v>1961</v>
      </c>
      <c r="BU44">
        <v>1961</v>
      </c>
      <c r="BV44">
        <v>1961</v>
      </c>
      <c r="BW44">
        <v>1961</v>
      </c>
      <c r="BX44">
        <v>0</v>
      </c>
      <c r="BY44">
        <v>0</v>
      </c>
      <c r="BZ44">
        <v>0</v>
      </c>
      <c r="CA44">
        <v>0</v>
      </c>
    </row>
    <row r="45" spans="1:79" x14ac:dyDescent="0.5">
      <c r="A45">
        <v>0</v>
      </c>
      <c r="B45">
        <v>0</v>
      </c>
      <c r="C45">
        <v>0</v>
      </c>
      <c r="D45">
        <v>2555</v>
      </c>
      <c r="E45">
        <v>2547</v>
      </c>
      <c r="F45">
        <v>2546</v>
      </c>
      <c r="G45">
        <v>2529</v>
      </c>
      <c r="H45">
        <v>2499</v>
      </c>
      <c r="I45">
        <v>2455</v>
      </c>
      <c r="J45">
        <v>2429</v>
      </c>
      <c r="K45">
        <v>2407</v>
      </c>
      <c r="L45">
        <v>2393</v>
      </c>
      <c r="M45">
        <v>2382</v>
      </c>
      <c r="N45">
        <v>2370</v>
      </c>
      <c r="O45">
        <v>2354</v>
      </c>
      <c r="P45">
        <v>2346</v>
      </c>
      <c r="Q45">
        <v>2345</v>
      </c>
      <c r="R45">
        <v>2340</v>
      </c>
      <c r="S45">
        <v>2330</v>
      </c>
      <c r="T45">
        <v>2308</v>
      </c>
      <c r="U45">
        <v>2274</v>
      </c>
      <c r="V45">
        <v>2280</v>
      </c>
      <c r="W45">
        <v>2267</v>
      </c>
      <c r="X45">
        <v>2251</v>
      </c>
      <c r="Y45">
        <v>2238</v>
      </c>
      <c r="Z45">
        <v>2224</v>
      </c>
      <c r="AA45">
        <v>2207</v>
      </c>
      <c r="AB45">
        <v>2192</v>
      </c>
      <c r="AC45">
        <v>2176</v>
      </c>
      <c r="AD45">
        <v>2158</v>
      </c>
      <c r="AE45">
        <v>2150</v>
      </c>
      <c r="AF45">
        <v>2142</v>
      </c>
      <c r="AG45">
        <v>2135</v>
      </c>
      <c r="AH45">
        <v>2126</v>
      </c>
      <c r="AI45">
        <v>2113</v>
      </c>
      <c r="AJ45">
        <v>2102</v>
      </c>
      <c r="AK45">
        <v>2115</v>
      </c>
      <c r="AL45">
        <v>2136</v>
      </c>
      <c r="AM45">
        <v>2148</v>
      </c>
      <c r="AN45">
        <v>2142</v>
      </c>
      <c r="AO45">
        <v>2131</v>
      </c>
      <c r="AP45">
        <v>2122</v>
      </c>
      <c r="AQ45">
        <v>2119</v>
      </c>
      <c r="AR45">
        <v>2114</v>
      </c>
      <c r="AS45">
        <v>2103</v>
      </c>
      <c r="AT45">
        <v>2099</v>
      </c>
      <c r="AU45">
        <v>2112</v>
      </c>
      <c r="AV45">
        <v>2112</v>
      </c>
      <c r="AW45">
        <v>2113</v>
      </c>
      <c r="AX45">
        <v>2114</v>
      </c>
      <c r="AY45">
        <v>2111</v>
      </c>
      <c r="AZ45">
        <v>2107</v>
      </c>
      <c r="BA45">
        <v>2107</v>
      </c>
      <c r="BB45">
        <v>2101</v>
      </c>
      <c r="BC45">
        <v>2084</v>
      </c>
      <c r="BD45">
        <v>2071</v>
      </c>
      <c r="BE45">
        <v>2050</v>
      </c>
      <c r="BF45">
        <v>2031</v>
      </c>
      <c r="BG45">
        <v>2023</v>
      </c>
      <c r="BH45">
        <v>2016</v>
      </c>
      <c r="BI45">
        <v>2010</v>
      </c>
      <c r="BJ45">
        <v>2013</v>
      </c>
      <c r="BK45">
        <v>2021</v>
      </c>
      <c r="BL45">
        <v>2029</v>
      </c>
      <c r="BM45">
        <v>2029</v>
      </c>
      <c r="BN45">
        <v>2020</v>
      </c>
      <c r="BO45">
        <v>2010</v>
      </c>
      <c r="BP45">
        <v>1980</v>
      </c>
      <c r="BQ45">
        <v>1961</v>
      </c>
      <c r="BR45">
        <v>1961</v>
      </c>
      <c r="BS45">
        <v>1961</v>
      </c>
      <c r="BT45">
        <v>1961</v>
      </c>
      <c r="BU45">
        <v>1961</v>
      </c>
      <c r="BV45">
        <v>1961</v>
      </c>
      <c r="BW45">
        <v>1979</v>
      </c>
      <c r="BX45">
        <v>0</v>
      </c>
      <c r="BY45">
        <v>0</v>
      </c>
      <c r="BZ45">
        <v>0</v>
      </c>
      <c r="CA45">
        <v>0</v>
      </c>
    </row>
    <row r="46" spans="1:79" x14ac:dyDescent="0.5">
      <c r="A46">
        <v>0</v>
      </c>
      <c r="B46">
        <v>0</v>
      </c>
      <c r="C46">
        <v>0</v>
      </c>
      <c r="D46">
        <v>2556</v>
      </c>
      <c r="E46">
        <v>2540</v>
      </c>
      <c r="F46">
        <v>2533</v>
      </c>
      <c r="G46">
        <v>2520</v>
      </c>
      <c r="H46">
        <v>2484</v>
      </c>
      <c r="I46">
        <v>2447</v>
      </c>
      <c r="J46">
        <v>2421</v>
      </c>
      <c r="K46">
        <v>2397</v>
      </c>
      <c r="L46">
        <v>2380</v>
      </c>
      <c r="M46">
        <v>2366</v>
      </c>
      <c r="N46">
        <v>2352</v>
      </c>
      <c r="O46">
        <v>2341</v>
      </c>
      <c r="P46">
        <v>2336</v>
      </c>
      <c r="Q46">
        <v>2329</v>
      </c>
      <c r="R46">
        <v>2321</v>
      </c>
      <c r="S46">
        <v>2306</v>
      </c>
      <c r="T46">
        <v>2306</v>
      </c>
      <c r="U46">
        <v>2309</v>
      </c>
      <c r="V46">
        <v>2298</v>
      </c>
      <c r="W46">
        <v>2278</v>
      </c>
      <c r="X46">
        <v>2267</v>
      </c>
      <c r="Y46">
        <v>2252</v>
      </c>
      <c r="Z46">
        <v>2231</v>
      </c>
      <c r="AA46">
        <v>2209</v>
      </c>
      <c r="AB46">
        <v>2194</v>
      </c>
      <c r="AC46">
        <v>2181</v>
      </c>
      <c r="AD46">
        <v>2167</v>
      </c>
      <c r="AE46">
        <v>2154</v>
      </c>
      <c r="AF46">
        <v>2145</v>
      </c>
      <c r="AG46">
        <v>2137</v>
      </c>
      <c r="AH46">
        <v>2125</v>
      </c>
      <c r="AI46">
        <v>2114</v>
      </c>
      <c r="AJ46">
        <v>2106</v>
      </c>
      <c r="AK46">
        <v>2119</v>
      </c>
      <c r="AL46">
        <v>2139</v>
      </c>
      <c r="AM46">
        <v>2153</v>
      </c>
      <c r="AN46">
        <v>2148</v>
      </c>
      <c r="AO46">
        <v>2139</v>
      </c>
      <c r="AP46">
        <v>2128</v>
      </c>
      <c r="AQ46">
        <v>2120</v>
      </c>
      <c r="AR46">
        <v>2113</v>
      </c>
      <c r="AS46">
        <v>2105</v>
      </c>
      <c r="AT46">
        <v>2103</v>
      </c>
      <c r="AU46">
        <v>2114</v>
      </c>
      <c r="AV46">
        <v>2120</v>
      </c>
      <c r="AW46">
        <v>2127</v>
      </c>
      <c r="AX46">
        <v>2132</v>
      </c>
      <c r="AY46">
        <v>2134</v>
      </c>
      <c r="AZ46">
        <v>2138</v>
      </c>
      <c r="BA46">
        <v>2134</v>
      </c>
      <c r="BB46">
        <v>2120</v>
      </c>
      <c r="BC46">
        <v>2105</v>
      </c>
      <c r="BD46">
        <v>2082</v>
      </c>
      <c r="BE46">
        <v>2058</v>
      </c>
      <c r="BF46">
        <v>2038</v>
      </c>
      <c r="BG46">
        <v>2031</v>
      </c>
      <c r="BH46">
        <v>2026</v>
      </c>
      <c r="BI46">
        <v>2017</v>
      </c>
      <c r="BJ46">
        <v>2022</v>
      </c>
      <c r="BK46">
        <v>2025</v>
      </c>
      <c r="BL46">
        <v>2032</v>
      </c>
      <c r="BM46">
        <v>2029</v>
      </c>
      <c r="BN46">
        <v>2017</v>
      </c>
      <c r="BO46">
        <v>2008</v>
      </c>
      <c r="BP46">
        <v>1980</v>
      </c>
      <c r="BQ46">
        <v>1961</v>
      </c>
      <c r="BR46">
        <v>1961</v>
      </c>
      <c r="BS46">
        <v>1961</v>
      </c>
      <c r="BT46">
        <v>1961</v>
      </c>
      <c r="BU46">
        <v>1961</v>
      </c>
      <c r="BV46">
        <v>1968</v>
      </c>
      <c r="BW46">
        <v>1992</v>
      </c>
      <c r="BX46">
        <v>0</v>
      </c>
      <c r="BY46">
        <v>0</v>
      </c>
      <c r="BZ46">
        <v>0</v>
      </c>
      <c r="CA46">
        <v>0</v>
      </c>
    </row>
    <row r="47" spans="1:79" x14ac:dyDescent="0.5">
      <c r="A47">
        <v>0</v>
      </c>
      <c r="B47">
        <v>0</v>
      </c>
      <c r="C47">
        <v>0</v>
      </c>
      <c r="D47">
        <v>2557</v>
      </c>
      <c r="E47">
        <v>2539</v>
      </c>
      <c r="F47">
        <v>2526</v>
      </c>
      <c r="G47">
        <v>2506</v>
      </c>
      <c r="H47">
        <v>2476</v>
      </c>
      <c r="I47">
        <v>2440</v>
      </c>
      <c r="J47">
        <v>2411</v>
      </c>
      <c r="K47">
        <v>2389</v>
      </c>
      <c r="L47">
        <v>2366</v>
      </c>
      <c r="M47">
        <v>2356</v>
      </c>
      <c r="N47">
        <v>2349</v>
      </c>
      <c r="O47">
        <v>2340</v>
      </c>
      <c r="P47">
        <v>2335</v>
      </c>
      <c r="Q47">
        <v>2334</v>
      </c>
      <c r="R47">
        <v>2332</v>
      </c>
      <c r="S47">
        <v>2329</v>
      </c>
      <c r="T47">
        <v>2328</v>
      </c>
      <c r="U47">
        <v>2320</v>
      </c>
      <c r="V47">
        <v>2308</v>
      </c>
      <c r="W47">
        <v>2293</v>
      </c>
      <c r="X47">
        <v>2277</v>
      </c>
      <c r="Y47">
        <v>2258</v>
      </c>
      <c r="Z47">
        <v>2233</v>
      </c>
      <c r="AA47">
        <v>2213</v>
      </c>
      <c r="AB47">
        <v>2201</v>
      </c>
      <c r="AC47">
        <v>2189</v>
      </c>
      <c r="AD47">
        <v>2176</v>
      </c>
      <c r="AE47">
        <v>2161</v>
      </c>
      <c r="AF47">
        <v>2148</v>
      </c>
      <c r="AG47">
        <v>2139</v>
      </c>
      <c r="AH47">
        <v>2130</v>
      </c>
      <c r="AI47">
        <v>2121</v>
      </c>
      <c r="AJ47">
        <v>2109</v>
      </c>
      <c r="AK47">
        <v>2115</v>
      </c>
      <c r="AL47">
        <v>2131</v>
      </c>
      <c r="AM47">
        <v>2143</v>
      </c>
      <c r="AN47">
        <v>2143</v>
      </c>
      <c r="AO47">
        <v>2139</v>
      </c>
      <c r="AP47">
        <v>2136</v>
      </c>
      <c r="AQ47">
        <v>2126</v>
      </c>
      <c r="AR47">
        <v>2115</v>
      </c>
      <c r="AS47">
        <v>2106</v>
      </c>
      <c r="AT47">
        <v>2105</v>
      </c>
      <c r="AU47">
        <v>2113</v>
      </c>
      <c r="AV47">
        <v>2122</v>
      </c>
      <c r="AW47">
        <v>2133</v>
      </c>
      <c r="AX47">
        <v>2143</v>
      </c>
      <c r="AY47">
        <v>2152</v>
      </c>
      <c r="AZ47">
        <v>2160</v>
      </c>
      <c r="BA47">
        <v>2155</v>
      </c>
      <c r="BB47">
        <v>2139</v>
      </c>
      <c r="BC47">
        <v>2119</v>
      </c>
      <c r="BD47">
        <v>2095</v>
      </c>
      <c r="BE47">
        <v>2065</v>
      </c>
      <c r="BF47">
        <v>2047</v>
      </c>
      <c r="BG47">
        <v>2035</v>
      </c>
      <c r="BH47">
        <v>2027</v>
      </c>
      <c r="BI47">
        <v>2024</v>
      </c>
      <c r="BJ47">
        <v>2029</v>
      </c>
      <c r="BK47">
        <v>2032</v>
      </c>
      <c r="BL47">
        <v>2034</v>
      </c>
      <c r="BM47">
        <v>2029</v>
      </c>
      <c r="BN47">
        <v>2016</v>
      </c>
      <c r="BO47">
        <v>2007</v>
      </c>
      <c r="BP47">
        <v>1980</v>
      </c>
      <c r="BQ47">
        <v>1961</v>
      </c>
      <c r="BR47">
        <v>1961</v>
      </c>
      <c r="BS47">
        <v>1961</v>
      </c>
      <c r="BT47">
        <v>1961</v>
      </c>
      <c r="BU47">
        <v>1961</v>
      </c>
      <c r="BV47">
        <v>1970</v>
      </c>
      <c r="BW47">
        <v>1994</v>
      </c>
      <c r="BX47">
        <v>0</v>
      </c>
      <c r="BY47">
        <v>0</v>
      </c>
      <c r="BZ47">
        <v>0</v>
      </c>
      <c r="CA47">
        <v>0</v>
      </c>
    </row>
    <row r="48" spans="1:79" x14ac:dyDescent="0.5">
      <c r="A48">
        <v>0</v>
      </c>
      <c r="B48">
        <v>0</v>
      </c>
      <c r="C48">
        <v>0</v>
      </c>
      <c r="D48">
        <v>2562</v>
      </c>
      <c r="E48">
        <v>2545</v>
      </c>
      <c r="F48">
        <v>2524</v>
      </c>
      <c r="G48">
        <v>2495</v>
      </c>
      <c r="H48">
        <v>2465</v>
      </c>
      <c r="I48">
        <v>2430</v>
      </c>
      <c r="J48">
        <v>2406</v>
      </c>
      <c r="K48">
        <v>2377</v>
      </c>
      <c r="L48">
        <v>2362</v>
      </c>
      <c r="M48">
        <v>2356</v>
      </c>
      <c r="N48">
        <v>2350</v>
      </c>
      <c r="O48">
        <v>2347</v>
      </c>
      <c r="P48">
        <v>2344</v>
      </c>
      <c r="Q48">
        <v>2350</v>
      </c>
      <c r="R48">
        <v>2354</v>
      </c>
      <c r="S48">
        <v>2353</v>
      </c>
      <c r="T48">
        <v>2351</v>
      </c>
      <c r="U48">
        <v>2333</v>
      </c>
      <c r="V48">
        <v>2315</v>
      </c>
      <c r="W48">
        <v>2297</v>
      </c>
      <c r="X48">
        <v>2278</v>
      </c>
      <c r="Y48">
        <v>2257</v>
      </c>
      <c r="Z48">
        <v>2235</v>
      </c>
      <c r="AA48">
        <v>2217</v>
      </c>
      <c r="AB48">
        <v>2208</v>
      </c>
      <c r="AC48">
        <v>2198</v>
      </c>
      <c r="AD48">
        <v>2185</v>
      </c>
      <c r="AE48">
        <v>2169</v>
      </c>
      <c r="AF48">
        <v>2156</v>
      </c>
      <c r="AG48">
        <v>2145</v>
      </c>
      <c r="AH48">
        <v>2139</v>
      </c>
      <c r="AI48">
        <v>2139</v>
      </c>
      <c r="AJ48">
        <v>2134</v>
      </c>
      <c r="AK48">
        <v>2118</v>
      </c>
      <c r="AL48">
        <v>2121</v>
      </c>
      <c r="AM48">
        <v>2131</v>
      </c>
      <c r="AN48">
        <v>2137</v>
      </c>
      <c r="AO48">
        <v>2140</v>
      </c>
      <c r="AP48">
        <v>2144</v>
      </c>
      <c r="AQ48">
        <v>2141</v>
      </c>
      <c r="AR48">
        <v>2130</v>
      </c>
      <c r="AS48">
        <v>2117</v>
      </c>
      <c r="AT48">
        <v>2107</v>
      </c>
      <c r="AU48">
        <v>2111</v>
      </c>
      <c r="AV48">
        <v>2127</v>
      </c>
      <c r="AW48">
        <v>2140</v>
      </c>
      <c r="AX48">
        <v>2153</v>
      </c>
      <c r="AY48">
        <v>2169</v>
      </c>
      <c r="AZ48">
        <v>2177</v>
      </c>
      <c r="BA48">
        <v>2168</v>
      </c>
      <c r="BB48">
        <v>2156</v>
      </c>
      <c r="BC48">
        <v>2139</v>
      </c>
      <c r="BD48">
        <v>2111</v>
      </c>
      <c r="BE48">
        <v>2080</v>
      </c>
      <c r="BF48">
        <v>2058</v>
      </c>
      <c r="BG48">
        <v>2040</v>
      </c>
      <c r="BH48">
        <v>2031</v>
      </c>
      <c r="BI48">
        <v>2034</v>
      </c>
      <c r="BJ48">
        <v>2037</v>
      </c>
      <c r="BK48">
        <v>2040</v>
      </c>
      <c r="BL48">
        <v>2037</v>
      </c>
      <c r="BM48">
        <v>2026</v>
      </c>
      <c r="BN48">
        <v>2018</v>
      </c>
      <c r="BO48">
        <v>2009</v>
      </c>
      <c r="BP48">
        <v>1990</v>
      </c>
      <c r="BQ48">
        <v>1975</v>
      </c>
      <c r="BR48">
        <v>1961</v>
      </c>
      <c r="BS48">
        <v>1961</v>
      </c>
      <c r="BT48">
        <v>1961</v>
      </c>
      <c r="BU48">
        <v>1961</v>
      </c>
      <c r="BV48">
        <v>1980</v>
      </c>
      <c r="BW48">
        <v>1999</v>
      </c>
      <c r="BX48">
        <v>2011</v>
      </c>
      <c r="BY48">
        <v>0</v>
      </c>
      <c r="BZ48">
        <v>0</v>
      </c>
      <c r="CA48">
        <v>0</v>
      </c>
    </row>
    <row r="49" spans="1:79" x14ac:dyDescent="0.5">
      <c r="A49">
        <v>0</v>
      </c>
      <c r="B49">
        <v>0</v>
      </c>
      <c r="C49">
        <v>0</v>
      </c>
      <c r="D49">
        <v>2564</v>
      </c>
      <c r="E49">
        <v>2548</v>
      </c>
      <c r="F49">
        <v>2527</v>
      </c>
      <c r="G49">
        <v>2485</v>
      </c>
      <c r="H49">
        <v>2455</v>
      </c>
      <c r="I49">
        <v>2426</v>
      </c>
      <c r="J49">
        <v>2403</v>
      </c>
      <c r="K49">
        <v>2381</v>
      </c>
      <c r="L49">
        <v>2365</v>
      </c>
      <c r="M49">
        <v>2364</v>
      </c>
      <c r="N49">
        <v>2361</v>
      </c>
      <c r="O49">
        <v>2356</v>
      </c>
      <c r="P49">
        <v>2361</v>
      </c>
      <c r="Q49">
        <v>2365</v>
      </c>
      <c r="R49">
        <v>2368</v>
      </c>
      <c r="S49">
        <v>2370</v>
      </c>
      <c r="T49">
        <v>2353</v>
      </c>
      <c r="U49">
        <v>2331</v>
      </c>
      <c r="V49">
        <v>2313</v>
      </c>
      <c r="W49">
        <v>2296</v>
      </c>
      <c r="X49">
        <v>2275</v>
      </c>
      <c r="Y49">
        <v>2260</v>
      </c>
      <c r="Z49">
        <v>2241</v>
      </c>
      <c r="AA49">
        <v>2230</v>
      </c>
      <c r="AB49">
        <v>2215</v>
      </c>
      <c r="AC49">
        <v>2203</v>
      </c>
      <c r="AD49">
        <v>2189</v>
      </c>
      <c r="AE49">
        <v>2175</v>
      </c>
      <c r="AF49">
        <v>2165</v>
      </c>
      <c r="AG49">
        <v>2153</v>
      </c>
      <c r="AH49">
        <v>2150</v>
      </c>
      <c r="AI49">
        <v>2149</v>
      </c>
      <c r="AJ49">
        <v>2148</v>
      </c>
      <c r="AK49">
        <v>2134</v>
      </c>
      <c r="AL49">
        <v>2121</v>
      </c>
      <c r="AM49">
        <v>2125</v>
      </c>
      <c r="AN49">
        <v>2133</v>
      </c>
      <c r="AO49">
        <v>2143</v>
      </c>
      <c r="AP49">
        <v>2150</v>
      </c>
      <c r="AQ49">
        <v>2153</v>
      </c>
      <c r="AR49">
        <v>2148</v>
      </c>
      <c r="AS49">
        <v>2135</v>
      </c>
      <c r="AT49">
        <v>2117</v>
      </c>
      <c r="AU49">
        <v>2109</v>
      </c>
      <c r="AV49">
        <v>2123</v>
      </c>
      <c r="AW49">
        <v>2139</v>
      </c>
      <c r="AX49">
        <v>2161</v>
      </c>
      <c r="AY49">
        <v>2181</v>
      </c>
      <c r="AZ49">
        <v>2197</v>
      </c>
      <c r="BA49">
        <v>2188</v>
      </c>
      <c r="BB49">
        <v>2171</v>
      </c>
      <c r="BC49">
        <v>2153</v>
      </c>
      <c r="BD49">
        <v>2126</v>
      </c>
      <c r="BE49">
        <v>2096</v>
      </c>
      <c r="BF49">
        <v>2070</v>
      </c>
      <c r="BG49">
        <v>2052</v>
      </c>
      <c r="BH49">
        <v>2040</v>
      </c>
      <c r="BI49">
        <v>2042</v>
      </c>
      <c r="BJ49">
        <v>2046</v>
      </c>
      <c r="BK49">
        <v>2048</v>
      </c>
      <c r="BL49">
        <v>2045</v>
      </c>
      <c r="BM49">
        <v>2030</v>
      </c>
      <c r="BN49">
        <v>2021</v>
      </c>
      <c r="BO49">
        <v>2014</v>
      </c>
      <c r="BP49">
        <v>2007</v>
      </c>
      <c r="BQ49">
        <v>1999</v>
      </c>
      <c r="BR49">
        <v>1981</v>
      </c>
      <c r="BS49">
        <v>1961</v>
      </c>
      <c r="BT49">
        <v>1961</v>
      </c>
      <c r="BU49">
        <v>1961</v>
      </c>
      <c r="BV49">
        <v>1984</v>
      </c>
      <c r="BW49">
        <v>2005</v>
      </c>
      <c r="BX49">
        <v>2013</v>
      </c>
      <c r="BY49">
        <v>0</v>
      </c>
      <c r="BZ49">
        <v>0</v>
      </c>
      <c r="CA49">
        <v>0</v>
      </c>
    </row>
    <row r="50" spans="1:79" x14ac:dyDescent="0.5">
      <c r="A50">
        <v>0</v>
      </c>
      <c r="B50">
        <v>0</v>
      </c>
      <c r="C50">
        <v>0</v>
      </c>
      <c r="D50">
        <v>2572</v>
      </c>
      <c r="E50">
        <v>2555</v>
      </c>
      <c r="F50">
        <v>2519</v>
      </c>
      <c r="G50">
        <v>2482</v>
      </c>
      <c r="H50">
        <v>2451</v>
      </c>
      <c r="I50">
        <v>2416</v>
      </c>
      <c r="J50">
        <v>2401</v>
      </c>
      <c r="K50">
        <v>2392</v>
      </c>
      <c r="L50">
        <v>2375</v>
      </c>
      <c r="M50">
        <v>2379</v>
      </c>
      <c r="N50">
        <v>2377</v>
      </c>
      <c r="O50">
        <v>2377</v>
      </c>
      <c r="P50">
        <v>2382</v>
      </c>
      <c r="Q50">
        <v>2381</v>
      </c>
      <c r="R50">
        <v>2373</v>
      </c>
      <c r="S50">
        <v>2358</v>
      </c>
      <c r="T50">
        <v>2340</v>
      </c>
      <c r="U50">
        <v>2323</v>
      </c>
      <c r="V50">
        <v>2307</v>
      </c>
      <c r="W50">
        <v>2292</v>
      </c>
      <c r="X50">
        <v>2274</v>
      </c>
      <c r="Y50">
        <v>2261</v>
      </c>
      <c r="Z50">
        <v>2248</v>
      </c>
      <c r="AA50">
        <v>2237</v>
      </c>
      <c r="AB50">
        <v>2226</v>
      </c>
      <c r="AC50">
        <v>2211</v>
      </c>
      <c r="AD50">
        <v>2195</v>
      </c>
      <c r="AE50">
        <v>2180</v>
      </c>
      <c r="AF50">
        <v>2171</v>
      </c>
      <c r="AG50">
        <v>2162</v>
      </c>
      <c r="AH50">
        <v>2157</v>
      </c>
      <c r="AI50">
        <v>2154</v>
      </c>
      <c r="AJ50">
        <v>2150</v>
      </c>
      <c r="AK50">
        <v>2138</v>
      </c>
      <c r="AL50">
        <v>2127</v>
      </c>
      <c r="AM50">
        <v>2125</v>
      </c>
      <c r="AN50">
        <v>2134</v>
      </c>
      <c r="AO50">
        <v>2145</v>
      </c>
      <c r="AP50">
        <v>2154</v>
      </c>
      <c r="AQ50">
        <v>2161</v>
      </c>
      <c r="AR50">
        <v>2162</v>
      </c>
      <c r="AS50">
        <v>2156</v>
      </c>
      <c r="AT50">
        <v>2132</v>
      </c>
      <c r="AU50">
        <v>2117</v>
      </c>
      <c r="AV50">
        <v>2118</v>
      </c>
      <c r="AW50">
        <v>2133</v>
      </c>
      <c r="AX50">
        <v>2158</v>
      </c>
      <c r="AY50">
        <v>2186</v>
      </c>
      <c r="AZ50">
        <v>2206</v>
      </c>
      <c r="BA50">
        <v>2206</v>
      </c>
      <c r="BB50">
        <v>2190</v>
      </c>
      <c r="BC50">
        <v>2167</v>
      </c>
      <c r="BD50">
        <v>2144</v>
      </c>
      <c r="BE50">
        <v>2112</v>
      </c>
      <c r="BF50">
        <v>2088</v>
      </c>
      <c r="BG50">
        <v>2068</v>
      </c>
      <c r="BH50">
        <v>2053</v>
      </c>
      <c r="BI50">
        <v>2048</v>
      </c>
      <c r="BJ50">
        <v>2054</v>
      </c>
      <c r="BK50">
        <v>2062</v>
      </c>
      <c r="BL50">
        <v>2059</v>
      </c>
      <c r="BM50">
        <v>2042</v>
      </c>
      <c r="BN50">
        <v>2028</v>
      </c>
      <c r="BO50">
        <v>2019</v>
      </c>
      <c r="BP50">
        <v>2012</v>
      </c>
      <c r="BQ50">
        <v>2005</v>
      </c>
      <c r="BR50">
        <v>2001</v>
      </c>
      <c r="BS50">
        <v>1985</v>
      </c>
      <c r="BT50">
        <v>1975</v>
      </c>
      <c r="BU50">
        <v>1985</v>
      </c>
      <c r="BV50">
        <v>1990</v>
      </c>
      <c r="BW50">
        <v>2012</v>
      </c>
      <c r="BX50">
        <v>2019</v>
      </c>
      <c r="BY50">
        <v>0</v>
      </c>
      <c r="BZ50">
        <v>0</v>
      </c>
      <c r="CA50">
        <v>0</v>
      </c>
    </row>
    <row r="51" spans="1:79" x14ac:dyDescent="0.5">
      <c r="A51">
        <v>0</v>
      </c>
      <c r="B51">
        <v>0</v>
      </c>
      <c r="C51">
        <v>0</v>
      </c>
      <c r="D51">
        <v>2572</v>
      </c>
      <c r="E51">
        <v>2548</v>
      </c>
      <c r="F51">
        <v>2507</v>
      </c>
      <c r="G51">
        <v>2477</v>
      </c>
      <c r="H51">
        <v>2445</v>
      </c>
      <c r="I51">
        <v>2408</v>
      </c>
      <c r="J51">
        <v>2397</v>
      </c>
      <c r="K51">
        <v>2387</v>
      </c>
      <c r="L51">
        <v>2392</v>
      </c>
      <c r="M51">
        <v>2403</v>
      </c>
      <c r="N51">
        <v>2401</v>
      </c>
      <c r="O51">
        <v>2406</v>
      </c>
      <c r="P51">
        <v>2406</v>
      </c>
      <c r="Q51">
        <v>2390</v>
      </c>
      <c r="R51">
        <v>2363</v>
      </c>
      <c r="S51">
        <v>2344</v>
      </c>
      <c r="T51">
        <v>2330</v>
      </c>
      <c r="U51">
        <v>2318</v>
      </c>
      <c r="V51">
        <v>2307</v>
      </c>
      <c r="W51">
        <v>2294</v>
      </c>
      <c r="X51">
        <v>2281</v>
      </c>
      <c r="Y51">
        <v>2272</v>
      </c>
      <c r="Z51">
        <v>2256</v>
      </c>
      <c r="AA51">
        <v>2240</v>
      </c>
      <c r="AB51">
        <v>2228</v>
      </c>
      <c r="AC51">
        <v>2217</v>
      </c>
      <c r="AD51">
        <v>2201</v>
      </c>
      <c r="AE51">
        <v>2187</v>
      </c>
      <c r="AF51">
        <v>2176</v>
      </c>
      <c r="AG51">
        <v>2167</v>
      </c>
      <c r="AH51">
        <v>2161</v>
      </c>
      <c r="AI51">
        <v>2155</v>
      </c>
      <c r="AJ51">
        <v>2149</v>
      </c>
      <c r="AK51">
        <v>2137</v>
      </c>
      <c r="AL51">
        <v>2129</v>
      </c>
      <c r="AM51">
        <v>2128</v>
      </c>
      <c r="AN51">
        <v>2134</v>
      </c>
      <c r="AO51">
        <v>2145</v>
      </c>
      <c r="AP51">
        <v>2156</v>
      </c>
      <c r="AQ51">
        <v>2164</v>
      </c>
      <c r="AR51">
        <v>2169</v>
      </c>
      <c r="AS51">
        <v>2168</v>
      </c>
      <c r="AT51">
        <v>2150</v>
      </c>
      <c r="AU51">
        <v>2125</v>
      </c>
      <c r="AV51">
        <v>2117</v>
      </c>
      <c r="AW51">
        <v>2122</v>
      </c>
      <c r="AX51">
        <v>2149</v>
      </c>
      <c r="AY51">
        <v>2179</v>
      </c>
      <c r="AZ51">
        <v>2205</v>
      </c>
      <c r="BA51">
        <v>2222</v>
      </c>
      <c r="BB51">
        <v>2207</v>
      </c>
      <c r="BC51">
        <v>2181</v>
      </c>
      <c r="BD51">
        <v>2156</v>
      </c>
      <c r="BE51">
        <v>2128</v>
      </c>
      <c r="BF51">
        <v>2102</v>
      </c>
      <c r="BG51">
        <v>2081</v>
      </c>
      <c r="BH51">
        <v>2071</v>
      </c>
      <c r="BI51">
        <v>2057</v>
      </c>
      <c r="BJ51">
        <v>2061</v>
      </c>
      <c r="BK51">
        <v>2070</v>
      </c>
      <c r="BL51">
        <v>2073</v>
      </c>
      <c r="BM51">
        <v>2060</v>
      </c>
      <c r="BN51">
        <v>2039</v>
      </c>
      <c r="BO51">
        <v>2024</v>
      </c>
      <c r="BP51">
        <v>2018</v>
      </c>
      <c r="BQ51">
        <v>2012</v>
      </c>
      <c r="BR51">
        <v>2014</v>
      </c>
      <c r="BS51">
        <v>2009</v>
      </c>
      <c r="BT51">
        <v>1998</v>
      </c>
      <c r="BU51">
        <v>2005</v>
      </c>
      <c r="BV51">
        <v>2014</v>
      </c>
      <c r="BW51">
        <v>2020</v>
      </c>
      <c r="BX51">
        <v>2026</v>
      </c>
      <c r="BY51">
        <v>0</v>
      </c>
      <c r="BZ51">
        <v>0</v>
      </c>
      <c r="CA51">
        <v>0</v>
      </c>
    </row>
    <row r="52" spans="1:79" x14ac:dyDescent="0.5">
      <c r="A52">
        <v>0</v>
      </c>
      <c r="B52">
        <v>0</v>
      </c>
      <c r="C52">
        <v>2578</v>
      </c>
      <c r="D52">
        <v>2565</v>
      </c>
      <c r="E52">
        <v>2536</v>
      </c>
      <c r="F52">
        <v>2495</v>
      </c>
      <c r="G52">
        <v>2465</v>
      </c>
      <c r="H52">
        <v>2438</v>
      </c>
      <c r="I52">
        <v>2411</v>
      </c>
      <c r="J52">
        <v>2397</v>
      </c>
      <c r="K52">
        <v>2403</v>
      </c>
      <c r="L52">
        <v>2411</v>
      </c>
      <c r="M52">
        <v>2420</v>
      </c>
      <c r="N52">
        <v>2426</v>
      </c>
      <c r="O52">
        <v>2428</v>
      </c>
      <c r="P52">
        <v>2422</v>
      </c>
      <c r="Q52">
        <v>2408</v>
      </c>
      <c r="R52">
        <v>2382</v>
      </c>
      <c r="S52">
        <v>2364</v>
      </c>
      <c r="T52">
        <v>2343</v>
      </c>
      <c r="U52">
        <v>2325</v>
      </c>
      <c r="V52">
        <v>2313</v>
      </c>
      <c r="W52">
        <v>2303</v>
      </c>
      <c r="X52">
        <v>2290</v>
      </c>
      <c r="Y52">
        <v>2279</v>
      </c>
      <c r="Z52">
        <v>2264</v>
      </c>
      <c r="AA52">
        <v>2245</v>
      </c>
      <c r="AB52">
        <v>2230</v>
      </c>
      <c r="AC52">
        <v>2217</v>
      </c>
      <c r="AD52">
        <v>2206</v>
      </c>
      <c r="AE52">
        <v>2194</v>
      </c>
      <c r="AF52">
        <v>2180</v>
      </c>
      <c r="AG52">
        <v>2170</v>
      </c>
      <c r="AH52">
        <v>2162</v>
      </c>
      <c r="AI52">
        <v>2154</v>
      </c>
      <c r="AJ52">
        <v>2146</v>
      </c>
      <c r="AK52">
        <v>2137</v>
      </c>
      <c r="AL52">
        <v>2129</v>
      </c>
      <c r="AM52">
        <v>2130</v>
      </c>
      <c r="AN52">
        <v>2134</v>
      </c>
      <c r="AO52">
        <v>2144</v>
      </c>
      <c r="AP52">
        <v>2155</v>
      </c>
      <c r="AQ52">
        <v>2166</v>
      </c>
      <c r="AR52">
        <v>2172</v>
      </c>
      <c r="AS52">
        <v>2177</v>
      </c>
      <c r="AT52">
        <v>2169</v>
      </c>
      <c r="AU52">
        <v>2146</v>
      </c>
      <c r="AV52">
        <v>2125</v>
      </c>
      <c r="AW52">
        <v>2121</v>
      </c>
      <c r="AX52">
        <v>2136</v>
      </c>
      <c r="AY52">
        <v>2169</v>
      </c>
      <c r="AZ52">
        <v>2201</v>
      </c>
      <c r="BA52">
        <v>2221</v>
      </c>
      <c r="BB52">
        <v>2218</v>
      </c>
      <c r="BC52">
        <v>2198</v>
      </c>
      <c r="BD52">
        <v>2171</v>
      </c>
      <c r="BE52">
        <v>2138</v>
      </c>
      <c r="BF52">
        <v>2114</v>
      </c>
      <c r="BG52">
        <v>2094</v>
      </c>
      <c r="BH52">
        <v>2081</v>
      </c>
      <c r="BI52">
        <v>2071</v>
      </c>
      <c r="BJ52">
        <v>2072</v>
      </c>
      <c r="BK52">
        <v>2077</v>
      </c>
      <c r="BL52">
        <v>2079</v>
      </c>
      <c r="BM52">
        <v>2074</v>
      </c>
      <c r="BN52">
        <v>2053</v>
      </c>
      <c r="BO52">
        <v>2034</v>
      </c>
      <c r="BP52">
        <v>2026</v>
      </c>
      <c r="BQ52">
        <v>2027</v>
      </c>
      <c r="BR52">
        <v>2027</v>
      </c>
      <c r="BS52">
        <v>2023</v>
      </c>
      <c r="BT52">
        <v>2008</v>
      </c>
      <c r="BU52">
        <v>2010</v>
      </c>
      <c r="BV52">
        <v>2024</v>
      </c>
      <c r="BW52">
        <v>2031</v>
      </c>
      <c r="BX52">
        <v>2037</v>
      </c>
      <c r="BY52">
        <v>0</v>
      </c>
      <c r="BZ52">
        <v>0</v>
      </c>
      <c r="CA52">
        <v>0</v>
      </c>
    </row>
    <row r="53" spans="1:79" x14ac:dyDescent="0.5">
      <c r="A53">
        <v>0</v>
      </c>
      <c r="B53">
        <v>0</v>
      </c>
      <c r="C53">
        <v>2584</v>
      </c>
      <c r="D53">
        <v>2564</v>
      </c>
      <c r="E53">
        <v>2526</v>
      </c>
      <c r="F53">
        <v>2491</v>
      </c>
      <c r="G53">
        <v>2462</v>
      </c>
      <c r="H53">
        <v>2429</v>
      </c>
      <c r="I53">
        <v>2415</v>
      </c>
      <c r="J53">
        <v>2409</v>
      </c>
      <c r="K53">
        <v>2419</v>
      </c>
      <c r="L53">
        <v>2426</v>
      </c>
      <c r="M53">
        <v>2438</v>
      </c>
      <c r="N53">
        <v>2444</v>
      </c>
      <c r="O53">
        <v>2445</v>
      </c>
      <c r="P53">
        <v>2442</v>
      </c>
      <c r="Q53">
        <v>2432</v>
      </c>
      <c r="R53">
        <v>2412</v>
      </c>
      <c r="S53">
        <v>2384</v>
      </c>
      <c r="T53">
        <v>2363</v>
      </c>
      <c r="U53">
        <v>2344</v>
      </c>
      <c r="V53">
        <v>2325</v>
      </c>
      <c r="W53">
        <v>2313</v>
      </c>
      <c r="X53">
        <v>2302</v>
      </c>
      <c r="Y53">
        <v>2293</v>
      </c>
      <c r="Z53">
        <v>2277</v>
      </c>
      <c r="AA53">
        <v>2255</v>
      </c>
      <c r="AB53">
        <v>2236</v>
      </c>
      <c r="AC53">
        <v>2218</v>
      </c>
      <c r="AD53">
        <v>2205</v>
      </c>
      <c r="AE53">
        <v>2194</v>
      </c>
      <c r="AF53">
        <v>2183</v>
      </c>
      <c r="AG53">
        <v>2172</v>
      </c>
      <c r="AH53">
        <v>2163</v>
      </c>
      <c r="AI53">
        <v>2154</v>
      </c>
      <c r="AJ53">
        <v>2145</v>
      </c>
      <c r="AK53">
        <v>2139</v>
      </c>
      <c r="AL53">
        <v>2132</v>
      </c>
      <c r="AM53">
        <v>2132</v>
      </c>
      <c r="AN53">
        <v>2138</v>
      </c>
      <c r="AO53">
        <v>2148</v>
      </c>
      <c r="AP53">
        <v>2162</v>
      </c>
      <c r="AQ53">
        <v>2172</v>
      </c>
      <c r="AR53">
        <v>2183</v>
      </c>
      <c r="AS53">
        <v>2189</v>
      </c>
      <c r="AT53">
        <v>2188</v>
      </c>
      <c r="AU53">
        <v>2167</v>
      </c>
      <c r="AV53">
        <v>2141</v>
      </c>
      <c r="AW53">
        <v>2134</v>
      </c>
      <c r="AX53">
        <v>2136</v>
      </c>
      <c r="AY53">
        <v>2164</v>
      </c>
      <c r="AZ53">
        <v>2193</v>
      </c>
      <c r="BA53">
        <v>2219</v>
      </c>
      <c r="BB53">
        <v>2225</v>
      </c>
      <c r="BC53">
        <v>2206</v>
      </c>
      <c r="BD53">
        <v>2177</v>
      </c>
      <c r="BE53">
        <v>2150</v>
      </c>
      <c r="BF53">
        <v>2124</v>
      </c>
      <c r="BG53">
        <v>2103</v>
      </c>
      <c r="BH53">
        <v>2090</v>
      </c>
      <c r="BI53">
        <v>2085</v>
      </c>
      <c r="BJ53">
        <v>2083</v>
      </c>
      <c r="BK53">
        <v>2083</v>
      </c>
      <c r="BL53">
        <v>2083</v>
      </c>
      <c r="BM53">
        <v>2076</v>
      </c>
      <c r="BN53">
        <v>2059</v>
      </c>
      <c r="BO53">
        <v>2043</v>
      </c>
      <c r="BP53">
        <v>2036</v>
      </c>
      <c r="BQ53">
        <v>2037</v>
      </c>
      <c r="BR53">
        <v>2039</v>
      </c>
      <c r="BS53">
        <v>2036</v>
      </c>
      <c r="BT53">
        <v>2025</v>
      </c>
      <c r="BU53">
        <v>2017</v>
      </c>
      <c r="BV53">
        <v>2033</v>
      </c>
      <c r="BW53">
        <v>2050</v>
      </c>
      <c r="BX53">
        <v>2053</v>
      </c>
      <c r="BY53">
        <v>2062</v>
      </c>
      <c r="BZ53">
        <v>0</v>
      </c>
      <c r="CA53">
        <v>0</v>
      </c>
    </row>
    <row r="54" spans="1:79" x14ac:dyDescent="0.5">
      <c r="A54">
        <v>0</v>
      </c>
      <c r="B54">
        <v>0</v>
      </c>
      <c r="C54">
        <v>2587</v>
      </c>
      <c r="D54">
        <v>2556</v>
      </c>
      <c r="E54">
        <v>2513</v>
      </c>
      <c r="F54">
        <v>2486</v>
      </c>
      <c r="G54">
        <v>2469</v>
      </c>
      <c r="H54">
        <v>2452</v>
      </c>
      <c r="I54">
        <v>2429</v>
      </c>
      <c r="J54">
        <v>2429</v>
      </c>
      <c r="K54">
        <v>2433</v>
      </c>
      <c r="L54">
        <v>2440</v>
      </c>
      <c r="M54">
        <v>2452</v>
      </c>
      <c r="N54">
        <v>2457</v>
      </c>
      <c r="O54">
        <v>2459</v>
      </c>
      <c r="P54">
        <v>2465</v>
      </c>
      <c r="Q54">
        <v>2460</v>
      </c>
      <c r="R54">
        <v>2433</v>
      </c>
      <c r="S54">
        <v>2409</v>
      </c>
      <c r="T54">
        <v>2388</v>
      </c>
      <c r="U54">
        <v>2361</v>
      </c>
      <c r="V54">
        <v>2341</v>
      </c>
      <c r="W54">
        <v>2327</v>
      </c>
      <c r="X54">
        <v>2315</v>
      </c>
      <c r="Y54">
        <v>2306</v>
      </c>
      <c r="Z54">
        <v>2289</v>
      </c>
      <c r="AA54">
        <v>2265</v>
      </c>
      <c r="AB54">
        <v>2245</v>
      </c>
      <c r="AC54">
        <v>2225</v>
      </c>
      <c r="AD54">
        <v>2206</v>
      </c>
      <c r="AE54">
        <v>2192</v>
      </c>
      <c r="AF54">
        <v>2183</v>
      </c>
      <c r="AG54">
        <v>2171</v>
      </c>
      <c r="AH54">
        <v>2162</v>
      </c>
      <c r="AI54">
        <v>2153</v>
      </c>
      <c r="AJ54">
        <v>2145</v>
      </c>
      <c r="AK54">
        <v>2141</v>
      </c>
      <c r="AL54">
        <v>2135</v>
      </c>
      <c r="AM54">
        <v>2137</v>
      </c>
      <c r="AN54">
        <v>2147</v>
      </c>
      <c r="AO54">
        <v>2161</v>
      </c>
      <c r="AP54">
        <v>2173</v>
      </c>
      <c r="AQ54">
        <v>2190</v>
      </c>
      <c r="AR54">
        <v>2202</v>
      </c>
      <c r="AS54">
        <v>2213</v>
      </c>
      <c r="AT54">
        <v>2213</v>
      </c>
      <c r="AU54">
        <v>2188</v>
      </c>
      <c r="AV54">
        <v>2161</v>
      </c>
      <c r="AW54">
        <v>2152</v>
      </c>
      <c r="AX54">
        <v>2144</v>
      </c>
      <c r="AY54">
        <v>2159</v>
      </c>
      <c r="AZ54">
        <v>2190</v>
      </c>
      <c r="BA54">
        <v>2216</v>
      </c>
      <c r="BB54">
        <v>2228</v>
      </c>
      <c r="BC54">
        <v>2215</v>
      </c>
      <c r="BD54">
        <v>2184</v>
      </c>
      <c r="BE54">
        <v>2159</v>
      </c>
      <c r="BF54">
        <v>2137</v>
      </c>
      <c r="BG54">
        <v>2114</v>
      </c>
      <c r="BH54">
        <v>2100</v>
      </c>
      <c r="BI54">
        <v>2095</v>
      </c>
      <c r="BJ54">
        <v>2096</v>
      </c>
      <c r="BK54">
        <v>2093</v>
      </c>
      <c r="BL54">
        <v>2090</v>
      </c>
      <c r="BM54">
        <v>2086</v>
      </c>
      <c r="BN54">
        <v>2068</v>
      </c>
      <c r="BO54">
        <v>2053</v>
      </c>
      <c r="BP54">
        <v>2046</v>
      </c>
      <c r="BQ54">
        <v>2050</v>
      </c>
      <c r="BR54">
        <v>2053</v>
      </c>
      <c r="BS54">
        <v>2054</v>
      </c>
      <c r="BT54">
        <v>2042</v>
      </c>
      <c r="BU54">
        <v>2029</v>
      </c>
      <c r="BV54">
        <v>2037</v>
      </c>
      <c r="BW54">
        <v>2053</v>
      </c>
      <c r="BX54">
        <v>2061</v>
      </c>
      <c r="BY54">
        <v>2066</v>
      </c>
      <c r="BZ54">
        <v>0</v>
      </c>
      <c r="CA54">
        <v>0</v>
      </c>
    </row>
    <row r="55" spans="1:79" x14ac:dyDescent="0.5">
      <c r="A55">
        <v>0</v>
      </c>
      <c r="B55">
        <v>2614</v>
      </c>
      <c r="C55">
        <v>2586</v>
      </c>
      <c r="D55">
        <v>2557</v>
      </c>
      <c r="E55">
        <v>2533</v>
      </c>
      <c r="F55">
        <v>2508</v>
      </c>
      <c r="G55">
        <v>2483</v>
      </c>
      <c r="H55">
        <v>2465</v>
      </c>
      <c r="I55">
        <v>2441</v>
      </c>
      <c r="J55">
        <v>2447</v>
      </c>
      <c r="K55">
        <v>2445</v>
      </c>
      <c r="L55">
        <v>2456</v>
      </c>
      <c r="M55">
        <v>2464</v>
      </c>
      <c r="N55">
        <v>2469</v>
      </c>
      <c r="O55">
        <v>2473</v>
      </c>
      <c r="P55">
        <v>2479</v>
      </c>
      <c r="Q55">
        <v>2481</v>
      </c>
      <c r="R55">
        <v>2453</v>
      </c>
      <c r="S55">
        <v>2428</v>
      </c>
      <c r="T55">
        <v>2407</v>
      </c>
      <c r="U55">
        <v>2380</v>
      </c>
      <c r="V55">
        <v>2357</v>
      </c>
      <c r="W55">
        <v>2339</v>
      </c>
      <c r="X55">
        <v>2325</v>
      </c>
      <c r="Y55">
        <v>2313</v>
      </c>
      <c r="Z55">
        <v>2297</v>
      </c>
      <c r="AA55">
        <v>2275</v>
      </c>
      <c r="AB55">
        <v>2254</v>
      </c>
      <c r="AC55">
        <v>2232</v>
      </c>
      <c r="AD55">
        <v>2209</v>
      </c>
      <c r="AE55">
        <v>2194</v>
      </c>
      <c r="AF55">
        <v>2182</v>
      </c>
      <c r="AG55">
        <v>2171</v>
      </c>
      <c r="AH55">
        <v>2161</v>
      </c>
      <c r="AI55">
        <v>2153</v>
      </c>
      <c r="AJ55">
        <v>2146</v>
      </c>
      <c r="AK55">
        <v>2143</v>
      </c>
      <c r="AL55">
        <v>2138</v>
      </c>
      <c r="AM55">
        <v>2144</v>
      </c>
      <c r="AN55">
        <v>2157</v>
      </c>
      <c r="AO55">
        <v>2172</v>
      </c>
      <c r="AP55">
        <v>2189</v>
      </c>
      <c r="AQ55">
        <v>2207</v>
      </c>
      <c r="AR55">
        <v>2223</v>
      </c>
      <c r="AS55">
        <v>2235</v>
      </c>
      <c r="AT55">
        <v>2236</v>
      </c>
      <c r="AU55">
        <v>2205</v>
      </c>
      <c r="AV55">
        <v>2180</v>
      </c>
      <c r="AW55">
        <v>2166</v>
      </c>
      <c r="AX55">
        <v>2159</v>
      </c>
      <c r="AY55">
        <v>2165</v>
      </c>
      <c r="AZ55">
        <v>2187</v>
      </c>
      <c r="BA55">
        <v>2212</v>
      </c>
      <c r="BB55">
        <v>2232</v>
      </c>
      <c r="BC55">
        <v>2225</v>
      </c>
      <c r="BD55">
        <v>2194</v>
      </c>
      <c r="BE55">
        <v>2169</v>
      </c>
      <c r="BF55">
        <v>2153</v>
      </c>
      <c r="BG55">
        <v>2134</v>
      </c>
      <c r="BH55">
        <v>2112</v>
      </c>
      <c r="BI55">
        <v>2108</v>
      </c>
      <c r="BJ55">
        <v>2106</v>
      </c>
      <c r="BK55">
        <v>2104</v>
      </c>
      <c r="BL55">
        <v>2098</v>
      </c>
      <c r="BM55">
        <v>2091</v>
      </c>
      <c r="BN55">
        <v>2078</v>
      </c>
      <c r="BO55">
        <v>2067</v>
      </c>
      <c r="BP55">
        <v>2058</v>
      </c>
      <c r="BQ55">
        <v>2062</v>
      </c>
      <c r="BR55">
        <v>2067</v>
      </c>
      <c r="BS55">
        <v>2068</v>
      </c>
      <c r="BT55">
        <v>2066</v>
      </c>
      <c r="BU55">
        <v>2041</v>
      </c>
      <c r="BV55">
        <v>2048</v>
      </c>
      <c r="BW55">
        <v>2058</v>
      </c>
      <c r="BX55">
        <v>2065</v>
      </c>
      <c r="BY55">
        <v>2072</v>
      </c>
      <c r="BZ55">
        <v>0</v>
      </c>
      <c r="CA55">
        <v>0</v>
      </c>
    </row>
    <row r="56" spans="1:79" x14ac:dyDescent="0.5">
      <c r="A56">
        <v>0</v>
      </c>
      <c r="B56">
        <v>2609</v>
      </c>
      <c r="C56">
        <v>2575</v>
      </c>
      <c r="D56">
        <v>2545</v>
      </c>
      <c r="E56">
        <v>2535</v>
      </c>
      <c r="F56">
        <v>2525</v>
      </c>
      <c r="G56">
        <v>2504</v>
      </c>
      <c r="H56">
        <v>2475</v>
      </c>
      <c r="I56">
        <v>2466</v>
      </c>
      <c r="J56">
        <v>2456</v>
      </c>
      <c r="K56">
        <v>2453</v>
      </c>
      <c r="L56">
        <v>2469</v>
      </c>
      <c r="M56">
        <v>2478</v>
      </c>
      <c r="N56">
        <v>2479</v>
      </c>
      <c r="O56">
        <v>2484</v>
      </c>
      <c r="P56">
        <v>2492</v>
      </c>
      <c r="Q56">
        <v>2493</v>
      </c>
      <c r="R56">
        <v>2471</v>
      </c>
      <c r="S56">
        <v>2450</v>
      </c>
      <c r="T56">
        <v>2428</v>
      </c>
      <c r="U56">
        <v>2405</v>
      </c>
      <c r="V56">
        <v>2378</v>
      </c>
      <c r="W56">
        <v>2354</v>
      </c>
      <c r="X56">
        <v>2337</v>
      </c>
      <c r="Y56">
        <v>2320</v>
      </c>
      <c r="Z56">
        <v>2306</v>
      </c>
      <c r="AA56">
        <v>2285</v>
      </c>
      <c r="AB56">
        <v>2263</v>
      </c>
      <c r="AC56">
        <v>2238</v>
      </c>
      <c r="AD56">
        <v>2212</v>
      </c>
      <c r="AE56">
        <v>2199</v>
      </c>
      <c r="AF56">
        <v>2186</v>
      </c>
      <c r="AG56">
        <v>2172</v>
      </c>
      <c r="AH56">
        <v>2161</v>
      </c>
      <c r="AI56">
        <v>2155</v>
      </c>
      <c r="AJ56">
        <v>2150</v>
      </c>
      <c r="AK56">
        <v>2146</v>
      </c>
      <c r="AL56">
        <v>2143</v>
      </c>
      <c r="AM56">
        <v>2150</v>
      </c>
      <c r="AN56">
        <v>2164</v>
      </c>
      <c r="AO56">
        <v>2182</v>
      </c>
      <c r="AP56">
        <v>2201</v>
      </c>
      <c r="AQ56">
        <v>2222</v>
      </c>
      <c r="AR56">
        <v>2239</v>
      </c>
      <c r="AS56">
        <v>2254</v>
      </c>
      <c r="AT56">
        <v>2254</v>
      </c>
      <c r="AU56">
        <v>2219</v>
      </c>
      <c r="AV56">
        <v>2198</v>
      </c>
      <c r="AW56">
        <v>2182</v>
      </c>
      <c r="AX56">
        <v>2175</v>
      </c>
      <c r="AY56">
        <v>2170</v>
      </c>
      <c r="AZ56">
        <v>2183</v>
      </c>
      <c r="BA56">
        <v>2211</v>
      </c>
      <c r="BB56">
        <v>2234</v>
      </c>
      <c r="BC56">
        <v>2232</v>
      </c>
      <c r="BD56">
        <v>2202</v>
      </c>
      <c r="BE56">
        <v>2182</v>
      </c>
      <c r="BF56">
        <v>2164</v>
      </c>
      <c r="BG56">
        <v>2146</v>
      </c>
      <c r="BH56">
        <v>2128</v>
      </c>
      <c r="BI56">
        <v>2118</v>
      </c>
      <c r="BJ56">
        <v>2119</v>
      </c>
      <c r="BK56">
        <v>2118</v>
      </c>
      <c r="BL56">
        <v>2108</v>
      </c>
      <c r="BM56">
        <v>2096</v>
      </c>
      <c r="BN56">
        <v>2086</v>
      </c>
      <c r="BO56">
        <v>2076</v>
      </c>
      <c r="BP56">
        <v>2070</v>
      </c>
      <c r="BQ56">
        <v>2072</v>
      </c>
      <c r="BR56">
        <v>2080</v>
      </c>
      <c r="BS56">
        <v>2085</v>
      </c>
      <c r="BT56">
        <v>2080</v>
      </c>
      <c r="BU56">
        <v>2052</v>
      </c>
      <c r="BV56">
        <v>2057</v>
      </c>
      <c r="BW56">
        <v>2069</v>
      </c>
      <c r="BX56">
        <v>2075</v>
      </c>
      <c r="BY56">
        <v>2076</v>
      </c>
      <c r="BZ56">
        <v>0</v>
      </c>
      <c r="CA56">
        <v>0</v>
      </c>
    </row>
    <row r="57" spans="1:79" x14ac:dyDescent="0.5">
      <c r="A57">
        <v>2638</v>
      </c>
      <c r="B57">
        <v>2599</v>
      </c>
      <c r="C57">
        <v>2549</v>
      </c>
      <c r="D57">
        <v>2534</v>
      </c>
      <c r="E57">
        <v>2537</v>
      </c>
      <c r="F57">
        <v>2532</v>
      </c>
      <c r="G57">
        <v>2507</v>
      </c>
      <c r="H57">
        <v>2508</v>
      </c>
      <c r="I57">
        <v>2481</v>
      </c>
      <c r="J57">
        <v>2467</v>
      </c>
      <c r="K57">
        <v>2482</v>
      </c>
      <c r="L57">
        <v>2493</v>
      </c>
      <c r="M57">
        <v>2494</v>
      </c>
      <c r="N57">
        <v>2492</v>
      </c>
      <c r="O57">
        <v>2498</v>
      </c>
      <c r="P57">
        <v>2505</v>
      </c>
      <c r="Q57">
        <v>2506</v>
      </c>
      <c r="R57">
        <v>2491</v>
      </c>
      <c r="S57">
        <v>2474</v>
      </c>
      <c r="T57">
        <v>2450</v>
      </c>
      <c r="U57">
        <v>2423</v>
      </c>
      <c r="V57">
        <v>2401</v>
      </c>
      <c r="W57">
        <v>2369</v>
      </c>
      <c r="X57">
        <v>2350</v>
      </c>
      <c r="Y57">
        <v>2330</v>
      </c>
      <c r="Z57">
        <v>2313</v>
      </c>
      <c r="AA57">
        <v>2295</v>
      </c>
      <c r="AB57">
        <v>2273</v>
      </c>
      <c r="AC57">
        <v>2243</v>
      </c>
      <c r="AD57">
        <v>2221</v>
      </c>
      <c r="AE57">
        <v>2203</v>
      </c>
      <c r="AF57">
        <v>2187</v>
      </c>
      <c r="AG57">
        <v>2174</v>
      </c>
      <c r="AH57">
        <v>2163</v>
      </c>
      <c r="AI57">
        <v>2156</v>
      </c>
      <c r="AJ57">
        <v>2151</v>
      </c>
      <c r="AK57">
        <v>2147</v>
      </c>
      <c r="AL57">
        <v>2148</v>
      </c>
      <c r="AM57">
        <v>2155</v>
      </c>
      <c r="AN57">
        <v>2167</v>
      </c>
      <c r="AO57">
        <v>2182</v>
      </c>
      <c r="AP57">
        <v>2202</v>
      </c>
      <c r="AQ57">
        <v>2226</v>
      </c>
      <c r="AR57">
        <v>2241</v>
      </c>
      <c r="AS57">
        <v>2256</v>
      </c>
      <c r="AT57">
        <v>2263</v>
      </c>
      <c r="AU57">
        <v>2242</v>
      </c>
      <c r="AV57">
        <v>2214</v>
      </c>
      <c r="AW57">
        <v>2198</v>
      </c>
      <c r="AX57">
        <v>2189</v>
      </c>
      <c r="AY57">
        <v>2181</v>
      </c>
      <c r="AZ57">
        <v>2189</v>
      </c>
      <c r="BA57">
        <v>2211</v>
      </c>
      <c r="BB57">
        <v>2238</v>
      </c>
      <c r="BC57">
        <v>2245</v>
      </c>
      <c r="BD57">
        <v>2215</v>
      </c>
      <c r="BE57">
        <v>2195</v>
      </c>
      <c r="BF57">
        <v>2177</v>
      </c>
      <c r="BG57">
        <v>2161</v>
      </c>
      <c r="BH57">
        <v>2146</v>
      </c>
      <c r="BI57">
        <v>2132</v>
      </c>
      <c r="BJ57">
        <v>2137</v>
      </c>
      <c r="BK57">
        <v>2135</v>
      </c>
      <c r="BL57">
        <v>2122</v>
      </c>
      <c r="BM57">
        <v>2106</v>
      </c>
      <c r="BN57">
        <v>2096</v>
      </c>
      <c r="BO57">
        <v>2088</v>
      </c>
      <c r="BP57">
        <v>2080</v>
      </c>
      <c r="BQ57">
        <v>2081</v>
      </c>
      <c r="BR57">
        <v>2088</v>
      </c>
      <c r="BS57">
        <v>2095</v>
      </c>
      <c r="BT57">
        <v>2090</v>
      </c>
      <c r="BU57">
        <v>2063</v>
      </c>
      <c r="BV57">
        <v>2070</v>
      </c>
      <c r="BW57">
        <v>2075</v>
      </c>
      <c r="BX57">
        <v>2079</v>
      </c>
      <c r="BY57">
        <v>2081</v>
      </c>
      <c r="BZ57">
        <v>0</v>
      </c>
      <c r="CA57">
        <v>0</v>
      </c>
    </row>
    <row r="58" spans="1:79" x14ac:dyDescent="0.5">
      <c r="A58">
        <v>2641</v>
      </c>
      <c r="B58">
        <v>2597</v>
      </c>
      <c r="C58">
        <v>2553</v>
      </c>
      <c r="D58">
        <v>2535</v>
      </c>
      <c r="E58">
        <v>2525</v>
      </c>
      <c r="F58">
        <v>2517</v>
      </c>
      <c r="G58">
        <v>2530</v>
      </c>
      <c r="H58">
        <v>2526</v>
      </c>
      <c r="I58">
        <v>2492</v>
      </c>
      <c r="J58">
        <v>2494</v>
      </c>
      <c r="K58">
        <v>2504</v>
      </c>
      <c r="L58">
        <v>2513</v>
      </c>
      <c r="M58">
        <v>2514</v>
      </c>
      <c r="N58">
        <v>2505</v>
      </c>
      <c r="O58">
        <v>2510</v>
      </c>
      <c r="P58">
        <v>2516</v>
      </c>
      <c r="Q58">
        <v>2520</v>
      </c>
      <c r="R58">
        <v>2507</v>
      </c>
      <c r="S58">
        <v>2485</v>
      </c>
      <c r="T58">
        <v>2461</v>
      </c>
      <c r="U58">
        <v>2435</v>
      </c>
      <c r="V58">
        <v>2413</v>
      </c>
      <c r="W58">
        <v>2389</v>
      </c>
      <c r="X58">
        <v>2363</v>
      </c>
      <c r="Y58">
        <v>2343</v>
      </c>
      <c r="Z58">
        <v>2323</v>
      </c>
      <c r="AA58">
        <v>2305</v>
      </c>
      <c r="AB58">
        <v>2280</v>
      </c>
      <c r="AC58">
        <v>2252</v>
      </c>
      <c r="AD58">
        <v>2227</v>
      </c>
      <c r="AE58">
        <v>2210</v>
      </c>
      <c r="AF58">
        <v>2192</v>
      </c>
      <c r="AG58">
        <v>2178</v>
      </c>
      <c r="AH58">
        <v>2167</v>
      </c>
      <c r="AI58">
        <v>2158</v>
      </c>
      <c r="AJ58">
        <v>2153</v>
      </c>
      <c r="AK58">
        <v>2150</v>
      </c>
      <c r="AL58">
        <v>2150</v>
      </c>
      <c r="AM58">
        <v>2156</v>
      </c>
      <c r="AN58">
        <v>2165</v>
      </c>
      <c r="AO58">
        <v>2178</v>
      </c>
      <c r="AP58">
        <v>2197</v>
      </c>
      <c r="AQ58">
        <v>2216</v>
      </c>
      <c r="AR58">
        <v>2233</v>
      </c>
      <c r="AS58">
        <v>2254</v>
      </c>
      <c r="AT58">
        <v>2266</v>
      </c>
      <c r="AU58">
        <v>2271</v>
      </c>
      <c r="AV58">
        <v>2237</v>
      </c>
      <c r="AW58">
        <v>2218</v>
      </c>
      <c r="AX58">
        <v>2206</v>
      </c>
      <c r="AY58">
        <v>2198</v>
      </c>
      <c r="AZ58">
        <v>2198</v>
      </c>
      <c r="BA58">
        <v>2215</v>
      </c>
      <c r="BB58">
        <v>2242</v>
      </c>
      <c r="BC58">
        <v>2254</v>
      </c>
      <c r="BD58">
        <v>2230</v>
      </c>
      <c r="BE58">
        <v>2210</v>
      </c>
      <c r="BF58">
        <v>2193</v>
      </c>
      <c r="BG58">
        <v>2177</v>
      </c>
      <c r="BH58">
        <v>2160</v>
      </c>
      <c r="BI58">
        <v>2149</v>
      </c>
      <c r="BJ58">
        <v>2153</v>
      </c>
      <c r="BK58">
        <v>2150</v>
      </c>
      <c r="BL58">
        <v>2138</v>
      </c>
      <c r="BM58">
        <v>2122</v>
      </c>
      <c r="BN58">
        <v>2109</v>
      </c>
      <c r="BO58">
        <v>2099</v>
      </c>
      <c r="BP58">
        <v>2093</v>
      </c>
      <c r="BQ58">
        <v>2093</v>
      </c>
      <c r="BR58">
        <v>2098</v>
      </c>
      <c r="BS58">
        <v>2095</v>
      </c>
      <c r="BT58">
        <v>2087</v>
      </c>
      <c r="BU58">
        <v>2074</v>
      </c>
      <c r="BV58">
        <v>2081</v>
      </c>
      <c r="BW58">
        <v>2083</v>
      </c>
      <c r="BX58">
        <v>2084</v>
      </c>
      <c r="BY58">
        <v>2086</v>
      </c>
      <c r="BZ58">
        <v>0</v>
      </c>
      <c r="CA58">
        <v>0</v>
      </c>
    </row>
    <row r="59" spans="1:79" x14ac:dyDescent="0.5">
      <c r="A59">
        <v>2648</v>
      </c>
      <c r="B59">
        <v>2611</v>
      </c>
      <c r="C59">
        <v>2564</v>
      </c>
      <c r="D59">
        <v>2542</v>
      </c>
      <c r="E59">
        <v>2531</v>
      </c>
      <c r="F59">
        <v>2523</v>
      </c>
      <c r="G59">
        <v>2548</v>
      </c>
      <c r="H59">
        <v>2546</v>
      </c>
      <c r="I59">
        <v>2534</v>
      </c>
      <c r="J59">
        <v>2520</v>
      </c>
      <c r="K59">
        <v>2526</v>
      </c>
      <c r="L59">
        <v>2533</v>
      </c>
      <c r="M59">
        <v>2530</v>
      </c>
      <c r="N59">
        <v>2524</v>
      </c>
      <c r="O59">
        <v>2524</v>
      </c>
      <c r="P59">
        <v>2526</v>
      </c>
      <c r="Q59">
        <v>2534</v>
      </c>
      <c r="R59">
        <v>2519</v>
      </c>
      <c r="S59">
        <v>2496</v>
      </c>
      <c r="T59">
        <v>2472</v>
      </c>
      <c r="U59">
        <v>2442</v>
      </c>
      <c r="V59">
        <v>2422</v>
      </c>
      <c r="W59">
        <v>2400</v>
      </c>
      <c r="X59">
        <v>2373</v>
      </c>
      <c r="Y59">
        <v>2352</v>
      </c>
      <c r="Z59">
        <v>2333</v>
      </c>
      <c r="AA59">
        <v>2311</v>
      </c>
      <c r="AB59">
        <v>2285</v>
      </c>
      <c r="AC59">
        <v>2257</v>
      </c>
      <c r="AD59">
        <v>2235</v>
      </c>
      <c r="AE59">
        <v>2214</v>
      </c>
      <c r="AF59">
        <v>2198</v>
      </c>
      <c r="AG59">
        <v>2181</v>
      </c>
      <c r="AH59">
        <v>2170</v>
      </c>
      <c r="AI59">
        <v>2160</v>
      </c>
      <c r="AJ59">
        <v>2155</v>
      </c>
      <c r="AK59">
        <v>2151</v>
      </c>
      <c r="AL59">
        <v>2152</v>
      </c>
      <c r="AM59">
        <v>2158</v>
      </c>
      <c r="AN59">
        <v>2165</v>
      </c>
      <c r="AO59">
        <v>2178</v>
      </c>
      <c r="AP59">
        <v>2195</v>
      </c>
      <c r="AQ59">
        <v>2215</v>
      </c>
      <c r="AR59">
        <v>2233</v>
      </c>
      <c r="AS59">
        <v>2252</v>
      </c>
      <c r="AT59">
        <v>2270</v>
      </c>
      <c r="AU59">
        <v>2277</v>
      </c>
      <c r="AV59">
        <v>2263</v>
      </c>
      <c r="AW59">
        <v>2236</v>
      </c>
      <c r="AX59">
        <v>2224</v>
      </c>
      <c r="AY59">
        <v>2215</v>
      </c>
      <c r="AZ59">
        <v>2212</v>
      </c>
      <c r="BA59">
        <v>2219</v>
      </c>
      <c r="BB59">
        <v>2246</v>
      </c>
      <c r="BC59">
        <v>2260</v>
      </c>
      <c r="BD59">
        <v>2245</v>
      </c>
      <c r="BE59">
        <v>2225</v>
      </c>
      <c r="BF59">
        <v>2211</v>
      </c>
      <c r="BG59">
        <v>2196</v>
      </c>
      <c r="BH59">
        <v>2179</v>
      </c>
      <c r="BI59">
        <v>2166</v>
      </c>
      <c r="BJ59">
        <v>2170</v>
      </c>
      <c r="BK59">
        <v>2164</v>
      </c>
      <c r="BL59">
        <v>2152</v>
      </c>
      <c r="BM59">
        <v>2136</v>
      </c>
      <c r="BN59">
        <v>2119</v>
      </c>
      <c r="BO59">
        <v>2113</v>
      </c>
      <c r="BP59">
        <v>2105</v>
      </c>
      <c r="BQ59">
        <v>2107</v>
      </c>
      <c r="BR59">
        <v>2106</v>
      </c>
      <c r="BS59">
        <v>2096</v>
      </c>
      <c r="BT59">
        <v>2087</v>
      </c>
      <c r="BU59">
        <v>2085</v>
      </c>
      <c r="BV59">
        <v>2089</v>
      </c>
      <c r="BW59">
        <v>2088</v>
      </c>
      <c r="BX59">
        <v>2090</v>
      </c>
      <c r="BY59">
        <v>2096</v>
      </c>
      <c r="BZ59">
        <v>2103</v>
      </c>
      <c r="CA59">
        <v>0</v>
      </c>
    </row>
    <row r="60" spans="1:79" x14ac:dyDescent="0.5">
      <c r="A60">
        <v>0</v>
      </c>
      <c r="B60">
        <v>2632</v>
      </c>
      <c r="C60">
        <v>2600</v>
      </c>
      <c r="D60">
        <v>2575</v>
      </c>
      <c r="E60">
        <v>2565</v>
      </c>
      <c r="F60">
        <v>2550</v>
      </c>
      <c r="G60">
        <v>2575</v>
      </c>
      <c r="H60">
        <v>2578</v>
      </c>
      <c r="I60">
        <v>2573</v>
      </c>
      <c r="J60">
        <v>2560</v>
      </c>
      <c r="K60">
        <v>2560</v>
      </c>
      <c r="L60">
        <v>2553</v>
      </c>
      <c r="M60">
        <v>2541</v>
      </c>
      <c r="N60">
        <v>0</v>
      </c>
      <c r="O60">
        <v>0</v>
      </c>
      <c r="P60">
        <v>0</v>
      </c>
      <c r="Q60">
        <v>2543</v>
      </c>
      <c r="R60">
        <v>2529</v>
      </c>
      <c r="S60">
        <v>2506</v>
      </c>
      <c r="T60">
        <v>2479</v>
      </c>
      <c r="U60">
        <v>2453</v>
      </c>
      <c r="V60">
        <v>2428</v>
      </c>
      <c r="W60">
        <v>2404</v>
      </c>
      <c r="X60">
        <v>2388</v>
      </c>
      <c r="Y60">
        <v>2372</v>
      </c>
      <c r="Z60">
        <v>2346</v>
      </c>
      <c r="AA60">
        <v>2319</v>
      </c>
      <c r="AB60">
        <v>2290</v>
      </c>
      <c r="AC60">
        <v>2267</v>
      </c>
      <c r="AD60">
        <v>2242</v>
      </c>
      <c r="AE60">
        <v>2217</v>
      </c>
      <c r="AF60">
        <v>2203</v>
      </c>
      <c r="AG60">
        <v>2187</v>
      </c>
      <c r="AH60">
        <v>2173</v>
      </c>
      <c r="AI60">
        <v>2164</v>
      </c>
      <c r="AJ60">
        <v>2157</v>
      </c>
      <c r="AK60">
        <v>2153</v>
      </c>
      <c r="AL60">
        <v>2154</v>
      </c>
      <c r="AM60">
        <v>2158</v>
      </c>
      <c r="AN60">
        <v>2166</v>
      </c>
      <c r="AO60">
        <v>2177</v>
      </c>
      <c r="AP60">
        <v>2196</v>
      </c>
      <c r="AQ60">
        <v>2215</v>
      </c>
      <c r="AR60">
        <v>2232</v>
      </c>
      <c r="AS60">
        <v>2255</v>
      </c>
      <c r="AT60">
        <v>2278</v>
      </c>
      <c r="AU60">
        <v>2288</v>
      </c>
      <c r="AV60">
        <v>2280</v>
      </c>
      <c r="AW60">
        <v>2259</v>
      </c>
      <c r="AX60">
        <v>2238</v>
      </c>
      <c r="AY60">
        <v>2229</v>
      </c>
      <c r="AZ60">
        <v>2226</v>
      </c>
      <c r="BA60">
        <v>2225</v>
      </c>
      <c r="BB60">
        <v>2245</v>
      </c>
      <c r="BC60">
        <v>2262</v>
      </c>
      <c r="BD60">
        <v>2256</v>
      </c>
      <c r="BE60">
        <v>2241</v>
      </c>
      <c r="BF60">
        <v>2228</v>
      </c>
      <c r="BG60">
        <v>2211</v>
      </c>
      <c r="BH60">
        <v>2198</v>
      </c>
      <c r="BI60">
        <v>2188</v>
      </c>
      <c r="BJ60">
        <v>2194</v>
      </c>
      <c r="BK60">
        <v>2188</v>
      </c>
      <c r="BL60">
        <v>2170</v>
      </c>
      <c r="BM60">
        <v>2152</v>
      </c>
      <c r="BN60">
        <v>2135</v>
      </c>
      <c r="BO60">
        <v>2128</v>
      </c>
      <c r="BP60">
        <v>2122</v>
      </c>
      <c r="BQ60">
        <v>2120</v>
      </c>
      <c r="BR60">
        <v>2111</v>
      </c>
      <c r="BS60">
        <v>2098</v>
      </c>
      <c r="BT60">
        <v>2091</v>
      </c>
      <c r="BU60">
        <v>2093</v>
      </c>
      <c r="BV60">
        <v>2096</v>
      </c>
      <c r="BW60">
        <v>2095</v>
      </c>
      <c r="BX60">
        <v>2099</v>
      </c>
      <c r="BY60">
        <v>2107</v>
      </c>
      <c r="BZ60">
        <v>2112</v>
      </c>
      <c r="CA60">
        <v>2115</v>
      </c>
    </row>
    <row r="61" spans="1:79" x14ac:dyDescent="0.5">
      <c r="A61">
        <v>0</v>
      </c>
      <c r="B61">
        <v>0</v>
      </c>
      <c r="C61">
        <v>2629</v>
      </c>
      <c r="D61">
        <v>2621</v>
      </c>
      <c r="E61">
        <v>2602</v>
      </c>
      <c r="F61">
        <v>2599</v>
      </c>
      <c r="G61">
        <v>2598</v>
      </c>
      <c r="H61">
        <v>2594</v>
      </c>
      <c r="I61">
        <v>2603</v>
      </c>
      <c r="J61">
        <v>2605</v>
      </c>
      <c r="K61">
        <v>2588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2536</v>
      </c>
      <c r="S61">
        <v>2509</v>
      </c>
      <c r="T61">
        <v>2484</v>
      </c>
      <c r="U61">
        <v>2458</v>
      </c>
      <c r="V61">
        <v>2430</v>
      </c>
      <c r="W61">
        <v>2408</v>
      </c>
      <c r="X61">
        <v>2390</v>
      </c>
      <c r="Y61">
        <v>2382</v>
      </c>
      <c r="Z61">
        <v>2350</v>
      </c>
      <c r="AA61">
        <v>2323</v>
      </c>
      <c r="AB61">
        <v>2297</v>
      </c>
      <c r="AC61">
        <v>2273</v>
      </c>
      <c r="AD61">
        <v>2245</v>
      </c>
      <c r="AE61">
        <v>2225</v>
      </c>
      <c r="AF61">
        <v>2211</v>
      </c>
      <c r="AG61">
        <v>2190</v>
      </c>
      <c r="AH61">
        <v>2177</v>
      </c>
      <c r="AI61">
        <v>2168</v>
      </c>
      <c r="AJ61">
        <v>2159</v>
      </c>
      <c r="AK61">
        <v>2156</v>
      </c>
      <c r="AL61">
        <v>2155</v>
      </c>
      <c r="AM61">
        <v>2159</v>
      </c>
      <c r="AN61">
        <v>2166</v>
      </c>
      <c r="AO61">
        <v>2178</v>
      </c>
      <c r="AP61">
        <v>2194</v>
      </c>
      <c r="AQ61">
        <v>2214</v>
      </c>
      <c r="AR61">
        <v>2234</v>
      </c>
      <c r="AS61">
        <v>2256</v>
      </c>
      <c r="AT61">
        <v>2282</v>
      </c>
      <c r="AU61">
        <v>2303</v>
      </c>
      <c r="AV61">
        <v>2299</v>
      </c>
      <c r="AW61">
        <v>2276</v>
      </c>
      <c r="AX61">
        <v>2256</v>
      </c>
      <c r="AY61">
        <v>2241</v>
      </c>
      <c r="AZ61">
        <v>2235</v>
      </c>
      <c r="BA61">
        <v>2236</v>
      </c>
      <c r="BB61">
        <v>2244</v>
      </c>
      <c r="BC61">
        <v>2262</v>
      </c>
      <c r="BD61">
        <v>2266</v>
      </c>
      <c r="BE61">
        <v>2258</v>
      </c>
      <c r="BF61">
        <v>2245</v>
      </c>
      <c r="BG61">
        <v>2228</v>
      </c>
      <c r="BH61">
        <v>2215</v>
      </c>
      <c r="BI61">
        <v>2205</v>
      </c>
      <c r="BJ61">
        <v>2211</v>
      </c>
      <c r="BK61">
        <v>2211</v>
      </c>
      <c r="BL61">
        <v>2189</v>
      </c>
      <c r="BM61">
        <v>2170</v>
      </c>
      <c r="BN61">
        <v>2154</v>
      </c>
      <c r="BO61">
        <v>2142</v>
      </c>
      <c r="BP61">
        <v>2133</v>
      </c>
      <c r="BQ61">
        <v>2127</v>
      </c>
      <c r="BR61">
        <v>2112</v>
      </c>
      <c r="BS61">
        <v>2103</v>
      </c>
      <c r="BT61">
        <v>2097</v>
      </c>
      <c r="BU61">
        <v>2101</v>
      </c>
      <c r="BV61">
        <v>2103</v>
      </c>
      <c r="BW61">
        <v>2103</v>
      </c>
      <c r="BX61">
        <v>2110</v>
      </c>
      <c r="BY61">
        <v>2116</v>
      </c>
      <c r="BZ61">
        <v>2119</v>
      </c>
      <c r="CA61">
        <v>2122</v>
      </c>
    </row>
    <row r="62" spans="1:79" x14ac:dyDescent="0.5">
      <c r="A62">
        <v>0</v>
      </c>
      <c r="B62">
        <v>0</v>
      </c>
      <c r="C62">
        <v>0</v>
      </c>
      <c r="D62">
        <v>2626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2487</v>
      </c>
      <c r="U62">
        <v>2461</v>
      </c>
      <c r="V62">
        <v>2433</v>
      </c>
      <c r="W62">
        <v>2407</v>
      </c>
      <c r="X62">
        <v>2392</v>
      </c>
      <c r="Y62">
        <v>2377</v>
      </c>
      <c r="Z62">
        <v>2349</v>
      </c>
      <c r="AA62">
        <v>2328</v>
      </c>
      <c r="AB62">
        <v>2303</v>
      </c>
      <c r="AC62">
        <v>2276</v>
      </c>
      <c r="AD62">
        <v>2251</v>
      </c>
      <c r="AE62">
        <v>2230</v>
      </c>
      <c r="AF62">
        <v>2213</v>
      </c>
      <c r="AG62">
        <v>2195</v>
      </c>
      <c r="AH62">
        <v>2181</v>
      </c>
      <c r="AI62">
        <v>2171</v>
      </c>
      <c r="AJ62">
        <v>2163</v>
      </c>
      <c r="AK62">
        <v>2159</v>
      </c>
      <c r="AL62">
        <v>2157</v>
      </c>
      <c r="AM62">
        <v>2159</v>
      </c>
      <c r="AN62">
        <v>2167</v>
      </c>
      <c r="AO62">
        <v>2178</v>
      </c>
      <c r="AP62">
        <v>2193</v>
      </c>
      <c r="AQ62">
        <v>2214</v>
      </c>
      <c r="AR62">
        <v>2232</v>
      </c>
      <c r="AS62">
        <v>2253</v>
      </c>
      <c r="AT62">
        <v>2280</v>
      </c>
      <c r="AU62">
        <v>2306</v>
      </c>
      <c r="AV62">
        <v>2313</v>
      </c>
      <c r="AW62">
        <v>2301</v>
      </c>
      <c r="AX62">
        <v>2273</v>
      </c>
      <c r="AY62">
        <v>2257</v>
      </c>
      <c r="AZ62">
        <v>2247</v>
      </c>
      <c r="BA62">
        <v>2246</v>
      </c>
      <c r="BB62">
        <v>2248</v>
      </c>
      <c r="BC62">
        <v>2260</v>
      </c>
      <c r="BD62">
        <v>2274</v>
      </c>
      <c r="BE62">
        <v>2274</v>
      </c>
      <c r="BF62">
        <v>2263</v>
      </c>
      <c r="BG62">
        <v>2249</v>
      </c>
      <c r="BH62">
        <v>2235</v>
      </c>
      <c r="BI62">
        <v>2219</v>
      </c>
      <c r="BJ62">
        <v>2229</v>
      </c>
      <c r="BK62">
        <v>2226</v>
      </c>
      <c r="BL62">
        <v>2210</v>
      </c>
      <c r="BM62">
        <v>2189</v>
      </c>
      <c r="BN62">
        <v>2172</v>
      </c>
      <c r="BO62">
        <v>2158</v>
      </c>
      <c r="BP62">
        <v>2142</v>
      </c>
      <c r="BQ62">
        <v>2127</v>
      </c>
      <c r="BR62">
        <v>2116</v>
      </c>
      <c r="BS62">
        <v>2107</v>
      </c>
      <c r="BT62">
        <v>2106</v>
      </c>
      <c r="BU62">
        <v>2109</v>
      </c>
      <c r="BV62">
        <v>2108</v>
      </c>
      <c r="BW62">
        <v>2112</v>
      </c>
      <c r="BX62">
        <v>2117</v>
      </c>
      <c r="BY62">
        <v>2123</v>
      </c>
      <c r="BZ62">
        <v>2127</v>
      </c>
      <c r="CA62">
        <v>2130</v>
      </c>
    </row>
    <row r="63" spans="1:79" x14ac:dyDescent="0.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2489</v>
      </c>
      <c r="U63">
        <v>2464</v>
      </c>
      <c r="V63">
        <v>2429</v>
      </c>
      <c r="W63">
        <v>2407</v>
      </c>
      <c r="X63">
        <v>2391</v>
      </c>
      <c r="Y63">
        <v>2377</v>
      </c>
      <c r="Z63">
        <v>2352</v>
      </c>
      <c r="AA63">
        <v>2331</v>
      </c>
      <c r="AB63">
        <v>2307</v>
      </c>
      <c r="AC63">
        <v>2283</v>
      </c>
      <c r="AD63">
        <v>2253</v>
      </c>
      <c r="AE63">
        <v>2233</v>
      </c>
      <c r="AF63">
        <v>2218</v>
      </c>
      <c r="AG63">
        <v>2203</v>
      </c>
      <c r="AH63">
        <v>2184</v>
      </c>
      <c r="AI63">
        <v>2173</v>
      </c>
      <c r="AJ63">
        <v>2166</v>
      </c>
      <c r="AK63">
        <v>2162</v>
      </c>
      <c r="AL63">
        <v>2159</v>
      </c>
      <c r="AM63">
        <v>2162</v>
      </c>
      <c r="AN63">
        <v>2168</v>
      </c>
      <c r="AO63">
        <v>2177</v>
      </c>
      <c r="AP63">
        <v>2192</v>
      </c>
      <c r="AQ63">
        <v>2211</v>
      </c>
      <c r="AR63">
        <v>2229</v>
      </c>
      <c r="AS63">
        <v>2252</v>
      </c>
      <c r="AT63">
        <v>2272</v>
      </c>
      <c r="AU63">
        <v>2298</v>
      </c>
      <c r="AV63">
        <v>2321</v>
      </c>
      <c r="AW63">
        <v>2318</v>
      </c>
      <c r="AX63">
        <v>2298</v>
      </c>
      <c r="AY63">
        <v>2271</v>
      </c>
      <c r="AZ63">
        <v>2261</v>
      </c>
      <c r="BA63">
        <v>2256</v>
      </c>
      <c r="BB63">
        <v>2255</v>
      </c>
      <c r="BC63">
        <v>2265</v>
      </c>
      <c r="BD63">
        <v>2278</v>
      </c>
      <c r="BE63">
        <v>2289</v>
      </c>
      <c r="BF63">
        <v>2283</v>
      </c>
      <c r="BG63">
        <v>2272</v>
      </c>
      <c r="BH63">
        <v>2264</v>
      </c>
      <c r="BI63">
        <v>2252</v>
      </c>
      <c r="BJ63">
        <v>2250</v>
      </c>
      <c r="BK63">
        <v>2247</v>
      </c>
      <c r="BL63">
        <v>2229</v>
      </c>
      <c r="BM63">
        <v>2211</v>
      </c>
      <c r="BN63">
        <v>2187</v>
      </c>
      <c r="BO63">
        <v>2167</v>
      </c>
      <c r="BP63">
        <v>2151</v>
      </c>
      <c r="BQ63">
        <v>2135</v>
      </c>
      <c r="BR63">
        <v>2120</v>
      </c>
      <c r="BS63">
        <v>2112</v>
      </c>
      <c r="BT63">
        <v>2113</v>
      </c>
      <c r="BU63">
        <v>2114</v>
      </c>
      <c r="BV63">
        <v>2115</v>
      </c>
      <c r="BW63">
        <v>2118</v>
      </c>
      <c r="BX63">
        <v>2124</v>
      </c>
      <c r="BY63">
        <v>2129</v>
      </c>
      <c r="BZ63">
        <v>2134</v>
      </c>
      <c r="CA63">
        <v>2138</v>
      </c>
    </row>
    <row r="64" spans="1:79" x14ac:dyDescent="0.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2379</v>
      </c>
      <c r="Z64">
        <v>2359</v>
      </c>
      <c r="AA64">
        <v>2337</v>
      </c>
      <c r="AB64">
        <v>2314</v>
      </c>
      <c r="AC64">
        <v>2291</v>
      </c>
      <c r="AD64">
        <v>2259</v>
      </c>
      <c r="AE64">
        <v>2240</v>
      </c>
      <c r="AF64">
        <v>2221</v>
      </c>
      <c r="AG64">
        <v>2208</v>
      </c>
      <c r="AH64">
        <v>2193</v>
      </c>
      <c r="AI64">
        <v>2176</v>
      </c>
      <c r="AJ64">
        <v>2168</v>
      </c>
      <c r="AK64">
        <v>2164</v>
      </c>
      <c r="AL64">
        <v>2162</v>
      </c>
      <c r="AM64">
        <v>2163</v>
      </c>
      <c r="AN64">
        <v>2167</v>
      </c>
      <c r="AO64">
        <v>2177</v>
      </c>
      <c r="AP64">
        <v>2189</v>
      </c>
      <c r="AQ64">
        <v>2208</v>
      </c>
      <c r="AR64">
        <v>2226</v>
      </c>
      <c r="AS64">
        <v>2247</v>
      </c>
      <c r="AT64">
        <v>2270</v>
      </c>
      <c r="AU64">
        <v>2294</v>
      </c>
      <c r="AV64">
        <v>2316</v>
      </c>
      <c r="AW64">
        <v>2328</v>
      </c>
      <c r="AX64">
        <v>2320</v>
      </c>
      <c r="AY64">
        <v>2297</v>
      </c>
      <c r="AZ64">
        <v>2281</v>
      </c>
      <c r="BA64">
        <v>2276</v>
      </c>
      <c r="BB64">
        <v>2268</v>
      </c>
      <c r="BC64">
        <v>2270</v>
      </c>
      <c r="BD64">
        <v>2281</v>
      </c>
      <c r="BE64">
        <v>2294</v>
      </c>
      <c r="BF64">
        <v>2302</v>
      </c>
      <c r="BG64">
        <v>2298</v>
      </c>
      <c r="BH64">
        <v>2287</v>
      </c>
      <c r="BI64">
        <v>2278</v>
      </c>
      <c r="BJ64">
        <v>2274</v>
      </c>
      <c r="BK64">
        <v>2265</v>
      </c>
      <c r="BL64">
        <v>2251</v>
      </c>
      <c r="BM64">
        <v>2230</v>
      </c>
      <c r="BN64">
        <v>2201</v>
      </c>
      <c r="BO64">
        <v>2173</v>
      </c>
      <c r="BP64">
        <v>2155</v>
      </c>
      <c r="BQ64">
        <v>2139</v>
      </c>
      <c r="BR64">
        <v>2125</v>
      </c>
      <c r="BS64">
        <v>2119</v>
      </c>
      <c r="BT64">
        <v>2119</v>
      </c>
      <c r="BU64">
        <v>2120</v>
      </c>
      <c r="BV64">
        <v>2120</v>
      </c>
      <c r="BW64">
        <v>2123</v>
      </c>
      <c r="BX64">
        <v>2128</v>
      </c>
      <c r="BY64">
        <v>2135</v>
      </c>
      <c r="BZ64">
        <v>2142</v>
      </c>
      <c r="CA64">
        <v>2147</v>
      </c>
    </row>
    <row r="65" spans="1:79" x14ac:dyDescent="0.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2197</v>
      </c>
      <c r="AI65">
        <v>2184</v>
      </c>
      <c r="AJ65">
        <v>2171</v>
      </c>
      <c r="AK65">
        <v>2166</v>
      </c>
      <c r="AL65">
        <v>2164</v>
      </c>
      <c r="AM65">
        <v>2164</v>
      </c>
      <c r="AN65">
        <v>2168</v>
      </c>
      <c r="AO65">
        <v>2175</v>
      </c>
      <c r="AP65">
        <v>2188</v>
      </c>
      <c r="AQ65">
        <v>2203</v>
      </c>
      <c r="AR65">
        <v>2220</v>
      </c>
      <c r="AS65">
        <v>2242</v>
      </c>
      <c r="AT65">
        <v>0</v>
      </c>
      <c r="AU65">
        <v>0</v>
      </c>
      <c r="AV65">
        <v>0</v>
      </c>
      <c r="AW65">
        <v>0</v>
      </c>
      <c r="AX65">
        <v>2331</v>
      </c>
      <c r="AY65">
        <v>2320</v>
      </c>
      <c r="AZ65">
        <v>2310</v>
      </c>
      <c r="BA65">
        <v>2305</v>
      </c>
      <c r="BB65">
        <v>2289</v>
      </c>
      <c r="BC65">
        <v>2277</v>
      </c>
      <c r="BD65">
        <v>2282</v>
      </c>
      <c r="BE65">
        <v>2295</v>
      </c>
      <c r="BF65">
        <v>2310</v>
      </c>
      <c r="BG65">
        <v>2316</v>
      </c>
      <c r="BH65">
        <v>2308</v>
      </c>
      <c r="BI65">
        <v>2301</v>
      </c>
      <c r="BJ65">
        <v>2292</v>
      </c>
      <c r="BK65">
        <v>2278</v>
      </c>
      <c r="BL65">
        <v>2262</v>
      </c>
      <c r="BM65">
        <v>2240</v>
      </c>
      <c r="BN65">
        <v>2211</v>
      </c>
      <c r="BO65">
        <v>2181</v>
      </c>
      <c r="BP65">
        <v>2157</v>
      </c>
      <c r="BQ65">
        <v>2144</v>
      </c>
      <c r="BR65">
        <v>2131</v>
      </c>
      <c r="BS65">
        <v>2128</v>
      </c>
      <c r="BT65">
        <v>2126</v>
      </c>
      <c r="BU65">
        <v>2127</v>
      </c>
      <c r="BV65">
        <v>2127</v>
      </c>
      <c r="BW65">
        <v>2127</v>
      </c>
      <c r="BX65">
        <v>2133</v>
      </c>
      <c r="BY65">
        <v>2139</v>
      </c>
      <c r="BZ65">
        <v>2146</v>
      </c>
      <c r="CA65">
        <v>2151</v>
      </c>
    </row>
    <row r="66" spans="1:79" x14ac:dyDescent="0.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2176</v>
      </c>
      <c r="AK66">
        <v>2170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2328</v>
      </c>
      <c r="AZ66">
        <v>2325</v>
      </c>
      <c r="BA66">
        <v>2324</v>
      </c>
      <c r="BB66">
        <v>2307</v>
      </c>
      <c r="BC66">
        <v>2292</v>
      </c>
      <c r="BD66">
        <v>2288</v>
      </c>
      <c r="BE66">
        <v>2298</v>
      </c>
      <c r="BF66">
        <v>2315</v>
      </c>
      <c r="BG66">
        <v>2329</v>
      </c>
      <c r="BH66">
        <v>2326</v>
      </c>
      <c r="BI66">
        <v>2318</v>
      </c>
      <c r="BJ66">
        <v>2304</v>
      </c>
      <c r="BK66">
        <v>2289</v>
      </c>
      <c r="BL66">
        <v>2268</v>
      </c>
      <c r="BM66">
        <v>2246</v>
      </c>
      <c r="BN66">
        <v>2215</v>
      </c>
      <c r="BO66">
        <v>2184</v>
      </c>
      <c r="BP66">
        <v>2163</v>
      </c>
      <c r="BQ66">
        <v>2151</v>
      </c>
      <c r="BR66">
        <v>2143</v>
      </c>
      <c r="BS66">
        <v>2141</v>
      </c>
      <c r="BT66">
        <v>2136</v>
      </c>
      <c r="BU66">
        <v>2135</v>
      </c>
      <c r="BV66">
        <v>2132</v>
      </c>
      <c r="BW66">
        <v>2130</v>
      </c>
      <c r="BX66">
        <v>2134</v>
      </c>
      <c r="BY66">
        <v>2141</v>
      </c>
      <c r="BZ66">
        <v>2147</v>
      </c>
      <c r="CA66">
        <v>2155</v>
      </c>
    </row>
    <row r="67" spans="1:79" x14ac:dyDescent="0.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2332</v>
      </c>
      <c r="BB67">
        <v>2322</v>
      </c>
      <c r="BC67">
        <v>2304</v>
      </c>
      <c r="BD67">
        <v>2296</v>
      </c>
      <c r="BE67">
        <v>2301</v>
      </c>
      <c r="BF67">
        <v>2315</v>
      </c>
      <c r="BG67">
        <v>2334</v>
      </c>
      <c r="BH67">
        <v>2339</v>
      </c>
      <c r="BI67">
        <v>2330</v>
      </c>
      <c r="BJ67">
        <v>2317</v>
      </c>
      <c r="BK67">
        <v>2292</v>
      </c>
      <c r="BL67">
        <v>2272</v>
      </c>
      <c r="BM67">
        <v>2250</v>
      </c>
      <c r="BN67">
        <v>2220</v>
      </c>
      <c r="BO67">
        <v>2193</v>
      </c>
      <c r="BP67">
        <v>2168</v>
      </c>
      <c r="BQ67">
        <v>2159</v>
      </c>
      <c r="BR67">
        <v>2154</v>
      </c>
      <c r="BS67">
        <v>2146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2330</v>
      </c>
      <c r="BC68">
        <v>2314</v>
      </c>
      <c r="BD68">
        <v>2304</v>
      </c>
      <c r="BE68">
        <v>2301</v>
      </c>
      <c r="BF68">
        <v>2311</v>
      </c>
      <c r="BG68">
        <v>2327</v>
      </c>
      <c r="BH68">
        <v>2347</v>
      </c>
      <c r="BI68">
        <v>2336</v>
      </c>
      <c r="BJ68">
        <v>2322</v>
      </c>
      <c r="BK68">
        <v>2300</v>
      </c>
      <c r="BL68">
        <v>2278</v>
      </c>
      <c r="BM68">
        <v>2256</v>
      </c>
      <c r="BN68">
        <v>2226</v>
      </c>
      <c r="BO68">
        <v>2200</v>
      </c>
      <c r="BP68">
        <v>2179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2349</v>
      </c>
      <c r="BJ69">
        <v>2331</v>
      </c>
      <c r="BK69">
        <v>2310</v>
      </c>
      <c r="BL69">
        <v>2288</v>
      </c>
      <c r="BM69">
        <v>2265</v>
      </c>
      <c r="BN69">
        <v>2237</v>
      </c>
      <c r="BO69">
        <v>2212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2345</v>
      </c>
      <c r="BK70">
        <v>2324</v>
      </c>
      <c r="BL70">
        <v>2300</v>
      </c>
      <c r="BM70">
        <v>2278</v>
      </c>
      <c r="BN70">
        <v>2247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2339</v>
      </c>
      <c r="BL71">
        <v>2313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46" workbookViewId="0">
      <selection activeCell="A60" sqref="A60:A1048576"/>
    </sheetView>
  </sheetViews>
  <sheetFormatPr defaultRowHeight="14.35" x14ac:dyDescent="0.5"/>
  <sheetData>
    <row r="1" spans="1:79" x14ac:dyDescent="0.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2173</v>
      </c>
      <c r="BA1">
        <v>2163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2171</v>
      </c>
      <c r="BA2">
        <v>2157</v>
      </c>
      <c r="BB2">
        <v>2132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2164</v>
      </c>
      <c r="BA3">
        <v>2149</v>
      </c>
      <c r="BB3">
        <v>2122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2157</v>
      </c>
      <c r="BA4">
        <v>2138</v>
      </c>
      <c r="BB4">
        <v>2121</v>
      </c>
      <c r="BC4">
        <v>2120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2151</v>
      </c>
      <c r="BA5">
        <v>2131</v>
      </c>
      <c r="BB5">
        <v>2120</v>
      </c>
      <c r="BC5">
        <v>2118.1</v>
      </c>
      <c r="BD5">
        <v>2118</v>
      </c>
      <c r="BE5">
        <v>2116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2149</v>
      </c>
      <c r="BA6">
        <v>2132</v>
      </c>
      <c r="BB6">
        <v>2121</v>
      </c>
      <c r="BC6">
        <v>2119</v>
      </c>
      <c r="BD6">
        <v>2116</v>
      </c>
      <c r="BE6">
        <v>2114</v>
      </c>
      <c r="BF6">
        <v>2116</v>
      </c>
      <c r="BG6">
        <v>2120</v>
      </c>
      <c r="BH6">
        <v>0</v>
      </c>
      <c r="BI6">
        <v>0</v>
      </c>
      <c r="BJ6">
        <v>0</v>
      </c>
      <c r="BK6">
        <v>0</v>
      </c>
      <c r="BL6">
        <v>2122</v>
      </c>
      <c r="BM6">
        <v>2124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2151</v>
      </c>
      <c r="BA7">
        <v>2136</v>
      </c>
      <c r="BB7">
        <v>2132</v>
      </c>
      <c r="BC7">
        <v>2120</v>
      </c>
      <c r="BD7">
        <v>2113</v>
      </c>
      <c r="BE7">
        <v>2111</v>
      </c>
      <c r="BF7">
        <v>2114</v>
      </c>
      <c r="BG7">
        <v>2119</v>
      </c>
      <c r="BH7">
        <v>2122</v>
      </c>
      <c r="BI7">
        <v>2126</v>
      </c>
      <c r="BJ7">
        <v>2124</v>
      </c>
      <c r="BK7">
        <v>2121</v>
      </c>
      <c r="BL7">
        <v>2119</v>
      </c>
      <c r="BM7">
        <v>2122</v>
      </c>
      <c r="BN7">
        <v>2123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2158</v>
      </c>
      <c r="BA8">
        <v>2146</v>
      </c>
      <c r="BB8">
        <v>2136</v>
      </c>
      <c r="BC8">
        <v>2120</v>
      </c>
      <c r="BD8">
        <v>2109.1</v>
      </c>
      <c r="BE8">
        <v>2109</v>
      </c>
      <c r="BF8">
        <v>2111</v>
      </c>
      <c r="BG8">
        <v>2117</v>
      </c>
      <c r="BH8">
        <v>2123</v>
      </c>
      <c r="BI8">
        <v>2126</v>
      </c>
      <c r="BJ8">
        <v>2125</v>
      </c>
      <c r="BK8">
        <v>2122</v>
      </c>
      <c r="BL8">
        <v>2117</v>
      </c>
      <c r="BM8">
        <v>2116</v>
      </c>
      <c r="BN8">
        <v>2117</v>
      </c>
      <c r="BO8">
        <v>2117</v>
      </c>
      <c r="BP8">
        <v>2118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2160</v>
      </c>
      <c r="AZ9">
        <v>2152</v>
      </c>
      <c r="BA9">
        <v>2141</v>
      </c>
      <c r="BB9">
        <v>2132</v>
      </c>
      <c r="BC9">
        <v>2121</v>
      </c>
      <c r="BD9">
        <v>2110</v>
      </c>
      <c r="BE9">
        <v>2106.1999999999998</v>
      </c>
      <c r="BF9">
        <v>2108</v>
      </c>
      <c r="BG9">
        <v>2110</v>
      </c>
      <c r="BH9">
        <v>2119</v>
      </c>
      <c r="BI9">
        <v>2125</v>
      </c>
      <c r="BJ9">
        <v>2125</v>
      </c>
      <c r="BK9">
        <v>2122</v>
      </c>
      <c r="BL9">
        <v>2116</v>
      </c>
      <c r="BM9">
        <v>2110</v>
      </c>
      <c r="BN9">
        <v>2108</v>
      </c>
      <c r="BO9">
        <v>2111</v>
      </c>
      <c r="BP9">
        <v>2116</v>
      </c>
      <c r="BQ9">
        <v>2120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2151</v>
      </c>
      <c r="AY10">
        <v>2154</v>
      </c>
      <c r="AZ10">
        <v>2147</v>
      </c>
      <c r="BA10">
        <v>2140</v>
      </c>
      <c r="BB10">
        <v>2130</v>
      </c>
      <c r="BC10">
        <v>2117</v>
      </c>
      <c r="BD10">
        <v>2111</v>
      </c>
      <c r="BE10">
        <v>2106.1</v>
      </c>
      <c r="BF10">
        <v>2107</v>
      </c>
      <c r="BG10">
        <v>2108</v>
      </c>
      <c r="BH10">
        <v>2115</v>
      </c>
      <c r="BI10">
        <v>2120</v>
      </c>
      <c r="BJ10">
        <v>2121</v>
      </c>
      <c r="BK10">
        <v>2119</v>
      </c>
      <c r="BL10">
        <v>2116</v>
      </c>
      <c r="BM10">
        <v>2111</v>
      </c>
      <c r="BN10">
        <v>2099</v>
      </c>
      <c r="BO10">
        <v>2106</v>
      </c>
      <c r="BP10">
        <v>2115</v>
      </c>
      <c r="BQ10">
        <v>2122</v>
      </c>
      <c r="BR10">
        <v>2127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2150</v>
      </c>
      <c r="AX11">
        <v>2148</v>
      </c>
      <c r="AY11">
        <v>2146</v>
      </c>
      <c r="AZ11">
        <v>2143</v>
      </c>
      <c r="BA11">
        <v>2139</v>
      </c>
      <c r="BB11">
        <v>2130</v>
      </c>
      <c r="BC11">
        <v>2118</v>
      </c>
      <c r="BD11">
        <v>2111</v>
      </c>
      <c r="BE11">
        <v>2106</v>
      </c>
      <c r="BF11">
        <v>2105</v>
      </c>
      <c r="BG11">
        <v>2105</v>
      </c>
      <c r="BH11">
        <v>2108</v>
      </c>
      <c r="BI11">
        <v>2112</v>
      </c>
      <c r="BJ11">
        <v>2112</v>
      </c>
      <c r="BK11">
        <v>2113</v>
      </c>
      <c r="BL11">
        <v>2112</v>
      </c>
      <c r="BM11">
        <v>2107</v>
      </c>
      <c r="BN11">
        <v>2097</v>
      </c>
      <c r="BO11">
        <v>2104</v>
      </c>
      <c r="BP11">
        <v>2112</v>
      </c>
      <c r="BQ11">
        <v>2119</v>
      </c>
      <c r="BR11">
        <v>2125</v>
      </c>
      <c r="BS11">
        <v>2130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2187</v>
      </c>
      <c r="AQ12">
        <v>2181</v>
      </c>
      <c r="AR12">
        <v>0</v>
      </c>
      <c r="AS12">
        <v>0</v>
      </c>
      <c r="AT12">
        <v>0</v>
      </c>
      <c r="AU12">
        <v>0</v>
      </c>
      <c r="AV12">
        <v>2156</v>
      </c>
      <c r="AW12">
        <v>2152</v>
      </c>
      <c r="AX12">
        <v>2146</v>
      </c>
      <c r="AY12">
        <v>2143</v>
      </c>
      <c r="AZ12">
        <v>2137</v>
      </c>
      <c r="BA12">
        <v>2136</v>
      </c>
      <c r="BB12">
        <v>2135</v>
      </c>
      <c r="BC12">
        <v>2121</v>
      </c>
      <c r="BD12">
        <v>2112</v>
      </c>
      <c r="BE12">
        <v>2108</v>
      </c>
      <c r="BF12">
        <v>2103</v>
      </c>
      <c r="BG12">
        <v>2101</v>
      </c>
      <c r="BH12">
        <v>2102</v>
      </c>
      <c r="BI12">
        <v>2104</v>
      </c>
      <c r="BJ12">
        <v>2106</v>
      </c>
      <c r="BK12">
        <v>2107</v>
      </c>
      <c r="BL12">
        <v>2106</v>
      </c>
      <c r="BM12">
        <v>2101</v>
      </c>
      <c r="BN12">
        <v>2094</v>
      </c>
      <c r="BO12">
        <v>2097</v>
      </c>
      <c r="BP12">
        <v>2105</v>
      </c>
      <c r="BQ12">
        <v>2112</v>
      </c>
      <c r="BR12">
        <v>2123</v>
      </c>
      <c r="BS12">
        <v>2128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2188</v>
      </c>
      <c r="AN13">
        <v>2185</v>
      </c>
      <c r="AO13">
        <v>2184</v>
      </c>
      <c r="AP13">
        <v>2182</v>
      </c>
      <c r="AQ13">
        <v>2171</v>
      </c>
      <c r="AR13">
        <v>2167</v>
      </c>
      <c r="AS13">
        <v>2165</v>
      </c>
      <c r="AT13">
        <v>2164</v>
      </c>
      <c r="AU13">
        <v>2161</v>
      </c>
      <c r="AV13">
        <v>2157</v>
      </c>
      <c r="AW13">
        <v>2150</v>
      </c>
      <c r="AX13">
        <v>2144</v>
      </c>
      <c r="AY13">
        <v>2139</v>
      </c>
      <c r="AZ13">
        <v>2134</v>
      </c>
      <c r="BA13">
        <v>2131</v>
      </c>
      <c r="BB13">
        <v>2128</v>
      </c>
      <c r="BC13">
        <v>2122</v>
      </c>
      <c r="BD13">
        <v>2114</v>
      </c>
      <c r="BE13">
        <v>2108</v>
      </c>
      <c r="BF13">
        <v>2102</v>
      </c>
      <c r="BG13">
        <v>2098</v>
      </c>
      <c r="BH13">
        <v>2096</v>
      </c>
      <c r="BI13">
        <v>2097</v>
      </c>
      <c r="BJ13">
        <v>2098</v>
      </c>
      <c r="BK13">
        <v>2103</v>
      </c>
      <c r="BL13">
        <v>2101</v>
      </c>
      <c r="BM13">
        <v>2096</v>
      </c>
      <c r="BN13">
        <v>2088</v>
      </c>
      <c r="BO13">
        <v>2089</v>
      </c>
      <c r="BP13">
        <v>2096</v>
      </c>
      <c r="BQ13">
        <v>2108</v>
      </c>
      <c r="BR13">
        <v>2121</v>
      </c>
      <c r="BS13">
        <v>2123</v>
      </c>
      <c r="BT13">
        <v>2124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2188</v>
      </c>
      <c r="AN14">
        <v>2178</v>
      </c>
      <c r="AO14">
        <v>2172</v>
      </c>
      <c r="AP14">
        <v>2168</v>
      </c>
      <c r="AQ14">
        <v>2158</v>
      </c>
      <c r="AR14">
        <v>2157</v>
      </c>
      <c r="AS14">
        <v>2157</v>
      </c>
      <c r="AT14">
        <v>2161</v>
      </c>
      <c r="AU14">
        <v>2160</v>
      </c>
      <c r="AV14">
        <v>2155</v>
      </c>
      <c r="AW14">
        <v>2148</v>
      </c>
      <c r="AX14">
        <v>2142</v>
      </c>
      <c r="AY14">
        <v>2137</v>
      </c>
      <c r="AZ14">
        <v>2132</v>
      </c>
      <c r="BA14">
        <v>2128</v>
      </c>
      <c r="BB14">
        <v>2124</v>
      </c>
      <c r="BC14">
        <v>2120</v>
      </c>
      <c r="BD14">
        <v>2116</v>
      </c>
      <c r="BE14">
        <v>2110</v>
      </c>
      <c r="BF14">
        <v>2104</v>
      </c>
      <c r="BG14">
        <v>2098</v>
      </c>
      <c r="BH14">
        <v>2092</v>
      </c>
      <c r="BI14">
        <v>2092</v>
      </c>
      <c r="BJ14">
        <v>2094</v>
      </c>
      <c r="BK14">
        <v>2097</v>
      </c>
      <c r="BL14">
        <v>2097</v>
      </c>
      <c r="BM14">
        <v>2089</v>
      </c>
      <c r="BN14">
        <v>2081</v>
      </c>
      <c r="BO14">
        <v>2080</v>
      </c>
      <c r="BP14">
        <v>2087</v>
      </c>
      <c r="BQ14">
        <v>2098</v>
      </c>
      <c r="BR14">
        <v>2113</v>
      </c>
      <c r="BS14">
        <v>2116</v>
      </c>
      <c r="BT14">
        <v>2118</v>
      </c>
      <c r="BU14">
        <v>2118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2197</v>
      </c>
      <c r="AM15">
        <v>2186</v>
      </c>
      <c r="AN15">
        <v>2178</v>
      </c>
      <c r="AO15">
        <v>2170</v>
      </c>
      <c r="AP15">
        <v>2153</v>
      </c>
      <c r="AQ15">
        <v>2145</v>
      </c>
      <c r="AR15">
        <v>2143</v>
      </c>
      <c r="AS15">
        <v>2143</v>
      </c>
      <c r="AT15">
        <v>2150</v>
      </c>
      <c r="AU15">
        <v>2152</v>
      </c>
      <c r="AV15">
        <v>2151</v>
      </c>
      <c r="AW15">
        <v>2146</v>
      </c>
      <c r="AX15">
        <v>2140</v>
      </c>
      <c r="AY15">
        <v>2134</v>
      </c>
      <c r="AZ15">
        <v>2129</v>
      </c>
      <c r="BA15">
        <v>2124</v>
      </c>
      <c r="BB15">
        <v>2120</v>
      </c>
      <c r="BC15">
        <v>2116</v>
      </c>
      <c r="BD15">
        <v>2113</v>
      </c>
      <c r="BE15">
        <v>2111</v>
      </c>
      <c r="BF15">
        <v>2106</v>
      </c>
      <c r="BG15">
        <v>2100</v>
      </c>
      <c r="BH15">
        <v>2091</v>
      </c>
      <c r="BI15">
        <v>2087</v>
      </c>
      <c r="BJ15">
        <v>2090</v>
      </c>
      <c r="BK15">
        <v>2092</v>
      </c>
      <c r="BL15">
        <v>2090</v>
      </c>
      <c r="BM15">
        <v>2087</v>
      </c>
      <c r="BN15">
        <v>2078</v>
      </c>
      <c r="BO15">
        <v>2073</v>
      </c>
      <c r="BP15">
        <v>2078</v>
      </c>
      <c r="BQ15">
        <v>2085</v>
      </c>
      <c r="BR15">
        <v>2097</v>
      </c>
      <c r="BS15">
        <v>2105</v>
      </c>
      <c r="BT15">
        <v>2110</v>
      </c>
      <c r="BU15">
        <v>2114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2207</v>
      </c>
      <c r="AL16">
        <v>2195</v>
      </c>
      <c r="AM16">
        <v>2186</v>
      </c>
      <c r="AN16">
        <v>2175</v>
      </c>
      <c r="AO16">
        <v>2164</v>
      </c>
      <c r="AP16">
        <v>2155</v>
      </c>
      <c r="AQ16">
        <v>2150</v>
      </c>
      <c r="AR16">
        <v>2146</v>
      </c>
      <c r="AS16">
        <v>2135</v>
      </c>
      <c r="AT16">
        <v>2136</v>
      </c>
      <c r="AU16">
        <v>2137</v>
      </c>
      <c r="AV16">
        <v>2140</v>
      </c>
      <c r="AW16">
        <v>2139</v>
      </c>
      <c r="AX16">
        <v>2136</v>
      </c>
      <c r="AY16">
        <v>2132</v>
      </c>
      <c r="AZ16">
        <v>2125</v>
      </c>
      <c r="BA16">
        <v>2120</v>
      </c>
      <c r="BB16">
        <v>2115</v>
      </c>
      <c r="BC16">
        <v>2111</v>
      </c>
      <c r="BD16">
        <v>2109</v>
      </c>
      <c r="BE16">
        <v>2107</v>
      </c>
      <c r="BF16">
        <v>2105</v>
      </c>
      <c r="BG16">
        <v>2101</v>
      </c>
      <c r="BH16">
        <v>2097</v>
      </c>
      <c r="BI16">
        <v>2083.1</v>
      </c>
      <c r="BJ16">
        <v>2086</v>
      </c>
      <c r="BK16">
        <v>2089</v>
      </c>
      <c r="BL16">
        <v>2088</v>
      </c>
      <c r="BM16">
        <v>2086</v>
      </c>
      <c r="BN16">
        <v>2078</v>
      </c>
      <c r="BO16">
        <v>2070</v>
      </c>
      <c r="BP16">
        <v>2070</v>
      </c>
      <c r="BQ16">
        <v>2072</v>
      </c>
      <c r="BR16">
        <v>2084</v>
      </c>
      <c r="BS16">
        <v>2092</v>
      </c>
      <c r="BT16">
        <v>2102</v>
      </c>
      <c r="BU16">
        <v>2109</v>
      </c>
      <c r="BV16">
        <v>2110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x14ac:dyDescent="0.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2208</v>
      </c>
      <c r="AK17">
        <v>2202</v>
      </c>
      <c r="AL17">
        <v>2186</v>
      </c>
      <c r="AM17">
        <v>2179</v>
      </c>
      <c r="AN17">
        <v>2170</v>
      </c>
      <c r="AO17">
        <v>2158</v>
      </c>
      <c r="AP17">
        <v>2155</v>
      </c>
      <c r="AQ17">
        <v>2152</v>
      </c>
      <c r="AR17">
        <v>2148</v>
      </c>
      <c r="AS17">
        <v>2135</v>
      </c>
      <c r="AT17">
        <v>2124</v>
      </c>
      <c r="AU17">
        <v>2122</v>
      </c>
      <c r="AV17">
        <v>2122</v>
      </c>
      <c r="AW17">
        <v>2129</v>
      </c>
      <c r="AX17">
        <v>2129</v>
      </c>
      <c r="AY17">
        <v>2125</v>
      </c>
      <c r="AZ17">
        <v>2119</v>
      </c>
      <c r="BA17">
        <v>2113</v>
      </c>
      <c r="BB17">
        <v>2110</v>
      </c>
      <c r="BC17">
        <v>2108</v>
      </c>
      <c r="BD17">
        <v>2106</v>
      </c>
      <c r="BE17">
        <v>2105</v>
      </c>
      <c r="BF17">
        <v>2103</v>
      </c>
      <c r="BG17">
        <v>2100</v>
      </c>
      <c r="BH17">
        <v>2097</v>
      </c>
      <c r="BI17">
        <v>2083</v>
      </c>
      <c r="BJ17">
        <v>2082</v>
      </c>
      <c r="BK17">
        <v>2087</v>
      </c>
      <c r="BL17">
        <v>2085</v>
      </c>
      <c r="BM17">
        <v>2078</v>
      </c>
      <c r="BN17">
        <v>2067</v>
      </c>
      <c r="BO17">
        <v>2065</v>
      </c>
      <c r="BP17">
        <v>2062</v>
      </c>
      <c r="BQ17">
        <v>2063</v>
      </c>
      <c r="BR17">
        <v>2069</v>
      </c>
      <c r="BS17">
        <v>2077</v>
      </c>
      <c r="BT17">
        <v>2093</v>
      </c>
      <c r="BU17">
        <v>2101</v>
      </c>
      <c r="BV17">
        <v>2103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x14ac:dyDescent="0.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2214</v>
      </c>
      <c r="AJ18">
        <v>2207</v>
      </c>
      <c r="AK18">
        <v>2194</v>
      </c>
      <c r="AL18">
        <v>2182</v>
      </c>
      <c r="AM18">
        <v>2174</v>
      </c>
      <c r="AN18">
        <v>2167</v>
      </c>
      <c r="AO18">
        <v>2158</v>
      </c>
      <c r="AP18">
        <v>2155</v>
      </c>
      <c r="AQ18">
        <v>2150</v>
      </c>
      <c r="AR18">
        <v>2146</v>
      </c>
      <c r="AS18">
        <v>2133</v>
      </c>
      <c r="AT18">
        <v>2126</v>
      </c>
      <c r="AU18">
        <v>2117</v>
      </c>
      <c r="AV18">
        <v>2105</v>
      </c>
      <c r="AW18">
        <v>2115</v>
      </c>
      <c r="AX18">
        <v>2120</v>
      </c>
      <c r="AY18">
        <v>2117</v>
      </c>
      <c r="AZ18">
        <v>2111</v>
      </c>
      <c r="BA18">
        <v>2108</v>
      </c>
      <c r="BB18">
        <v>2104</v>
      </c>
      <c r="BC18">
        <v>2102</v>
      </c>
      <c r="BD18">
        <v>2102</v>
      </c>
      <c r="BE18">
        <v>2102</v>
      </c>
      <c r="BF18">
        <v>2101</v>
      </c>
      <c r="BG18">
        <v>2099</v>
      </c>
      <c r="BH18">
        <v>2093</v>
      </c>
      <c r="BI18">
        <v>2086</v>
      </c>
      <c r="BJ18">
        <v>2073</v>
      </c>
      <c r="BK18">
        <v>2078</v>
      </c>
      <c r="BL18">
        <v>2075</v>
      </c>
      <c r="BM18">
        <v>2067</v>
      </c>
      <c r="BN18">
        <v>2060</v>
      </c>
      <c r="BO18">
        <v>2060</v>
      </c>
      <c r="BP18">
        <v>2057.1</v>
      </c>
      <c r="BQ18">
        <v>2057.1999999999998</v>
      </c>
      <c r="BR18">
        <v>2057.1999999999998</v>
      </c>
      <c r="BS18">
        <v>2066</v>
      </c>
      <c r="BT18">
        <v>2081</v>
      </c>
      <c r="BU18">
        <v>2091</v>
      </c>
      <c r="BV18">
        <v>2096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x14ac:dyDescent="0.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2220</v>
      </c>
      <c r="AI19">
        <v>2210</v>
      </c>
      <c r="AJ19">
        <v>2210</v>
      </c>
      <c r="AK19">
        <v>2195</v>
      </c>
      <c r="AL19">
        <v>2184</v>
      </c>
      <c r="AM19">
        <v>2181</v>
      </c>
      <c r="AN19">
        <v>2172</v>
      </c>
      <c r="AO19">
        <v>2163</v>
      </c>
      <c r="AP19">
        <v>2157</v>
      </c>
      <c r="AQ19">
        <v>2151</v>
      </c>
      <c r="AR19">
        <v>2147</v>
      </c>
      <c r="AS19">
        <v>2139</v>
      </c>
      <c r="AT19">
        <v>2133</v>
      </c>
      <c r="AU19">
        <v>2117</v>
      </c>
      <c r="AV19">
        <v>2092</v>
      </c>
      <c r="AW19">
        <v>2099</v>
      </c>
      <c r="AX19">
        <v>2108</v>
      </c>
      <c r="AY19">
        <v>2109</v>
      </c>
      <c r="AZ19">
        <v>2103</v>
      </c>
      <c r="BA19">
        <v>2102</v>
      </c>
      <c r="BB19">
        <v>2099</v>
      </c>
      <c r="BC19">
        <v>2097</v>
      </c>
      <c r="BD19">
        <v>2098</v>
      </c>
      <c r="BE19">
        <v>2100</v>
      </c>
      <c r="BF19">
        <v>2100</v>
      </c>
      <c r="BG19">
        <v>2098</v>
      </c>
      <c r="BH19">
        <v>2089</v>
      </c>
      <c r="BI19">
        <v>2081</v>
      </c>
      <c r="BJ19">
        <v>2071</v>
      </c>
      <c r="BK19">
        <v>2063</v>
      </c>
      <c r="BL19">
        <v>2063</v>
      </c>
      <c r="BM19">
        <v>2060</v>
      </c>
      <c r="BN19">
        <v>2055</v>
      </c>
      <c r="BO19">
        <v>2057</v>
      </c>
      <c r="BP19">
        <v>2057</v>
      </c>
      <c r="BQ19">
        <v>2057.1</v>
      </c>
      <c r="BR19">
        <v>2057.1999999999998</v>
      </c>
      <c r="BS19">
        <v>2058</v>
      </c>
      <c r="BT19">
        <v>2070</v>
      </c>
      <c r="BU19">
        <v>2084</v>
      </c>
      <c r="BV19">
        <v>2096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x14ac:dyDescent="0.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2220</v>
      </c>
      <c r="AI20">
        <v>2227</v>
      </c>
      <c r="AJ20">
        <v>2228</v>
      </c>
      <c r="AK20">
        <v>2210</v>
      </c>
      <c r="AL20">
        <v>2199</v>
      </c>
      <c r="AM20">
        <v>2187</v>
      </c>
      <c r="AN20">
        <v>2179</v>
      </c>
      <c r="AO20">
        <v>2172</v>
      </c>
      <c r="AP20">
        <v>2159</v>
      </c>
      <c r="AQ20">
        <v>2149</v>
      </c>
      <c r="AR20">
        <v>2146</v>
      </c>
      <c r="AS20">
        <v>2138</v>
      </c>
      <c r="AT20">
        <v>2132</v>
      </c>
      <c r="AU20">
        <v>2113</v>
      </c>
      <c r="AV20">
        <v>2087</v>
      </c>
      <c r="AW20">
        <v>2089</v>
      </c>
      <c r="AX20">
        <v>2095</v>
      </c>
      <c r="AY20">
        <v>2099</v>
      </c>
      <c r="AZ20">
        <v>2095</v>
      </c>
      <c r="BA20">
        <v>2095</v>
      </c>
      <c r="BB20">
        <v>2093</v>
      </c>
      <c r="BC20">
        <v>2093</v>
      </c>
      <c r="BD20">
        <v>2094</v>
      </c>
      <c r="BE20">
        <v>2098</v>
      </c>
      <c r="BF20">
        <v>2097</v>
      </c>
      <c r="BG20">
        <v>2092</v>
      </c>
      <c r="BH20">
        <v>2084</v>
      </c>
      <c r="BI20">
        <v>2077</v>
      </c>
      <c r="BJ20">
        <v>2069</v>
      </c>
      <c r="BK20">
        <v>2060</v>
      </c>
      <c r="BL20">
        <v>2054</v>
      </c>
      <c r="BM20">
        <v>2055</v>
      </c>
      <c r="BN20">
        <v>2053</v>
      </c>
      <c r="BO20">
        <v>2056</v>
      </c>
      <c r="BP20">
        <v>2059</v>
      </c>
      <c r="BQ20">
        <v>2060</v>
      </c>
      <c r="BR20">
        <v>2062</v>
      </c>
      <c r="BS20">
        <v>2060</v>
      </c>
      <c r="BT20">
        <v>2067</v>
      </c>
      <c r="BU20">
        <v>2083</v>
      </c>
      <c r="BV20">
        <v>2110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x14ac:dyDescent="0.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2239.0100000000002</v>
      </c>
      <c r="AH21">
        <v>2239</v>
      </c>
      <c r="AI21">
        <v>2243</v>
      </c>
      <c r="AJ21">
        <v>2230</v>
      </c>
      <c r="AK21">
        <v>2210</v>
      </c>
      <c r="AL21">
        <v>2194</v>
      </c>
      <c r="AM21">
        <v>2179</v>
      </c>
      <c r="AN21">
        <v>2168</v>
      </c>
      <c r="AO21">
        <v>2158</v>
      </c>
      <c r="AP21">
        <v>2148</v>
      </c>
      <c r="AQ21">
        <v>2139</v>
      </c>
      <c r="AR21">
        <v>2131</v>
      </c>
      <c r="AS21">
        <v>2124</v>
      </c>
      <c r="AT21">
        <v>2116</v>
      </c>
      <c r="AU21">
        <v>2100</v>
      </c>
      <c r="AV21">
        <v>2077</v>
      </c>
      <c r="AW21">
        <v>2074</v>
      </c>
      <c r="AX21">
        <v>2081</v>
      </c>
      <c r="AY21">
        <v>2087</v>
      </c>
      <c r="AZ21">
        <v>2085</v>
      </c>
      <c r="BA21">
        <v>2085</v>
      </c>
      <c r="BB21">
        <v>2085</v>
      </c>
      <c r="BC21">
        <v>2088</v>
      </c>
      <c r="BD21">
        <v>2091</v>
      </c>
      <c r="BE21">
        <v>2095</v>
      </c>
      <c r="BF21">
        <v>2092</v>
      </c>
      <c r="BG21">
        <v>2085</v>
      </c>
      <c r="BH21">
        <v>2080</v>
      </c>
      <c r="BI21">
        <v>2075</v>
      </c>
      <c r="BJ21">
        <v>2067</v>
      </c>
      <c r="BK21">
        <v>2060</v>
      </c>
      <c r="BL21">
        <v>2051</v>
      </c>
      <c r="BM21">
        <v>2051</v>
      </c>
      <c r="BN21">
        <v>2052</v>
      </c>
      <c r="BO21">
        <v>2061</v>
      </c>
      <c r="BP21">
        <v>2065</v>
      </c>
      <c r="BQ21">
        <v>2073</v>
      </c>
      <c r="BR21">
        <v>2073</v>
      </c>
      <c r="BS21">
        <v>2070</v>
      </c>
      <c r="BT21">
        <v>2070</v>
      </c>
      <c r="BU21">
        <v>2082</v>
      </c>
      <c r="BV21">
        <v>2097</v>
      </c>
      <c r="BW21">
        <v>2107</v>
      </c>
      <c r="BX21">
        <v>0</v>
      </c>
      <c r="BY21">
        <v>0</v>
      </c>
      <c r="BZ21">
        <v>0</v>
      </c>
      <c r="CA21">
        <v>0</v>
      </c>
    </row>
    <row r="22" spans="1:79" x14ac:dyDescent="0.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2248</v>
      </c>
      <c r="AH22">
        <v>2245</v>
      </c>
      <c r="AI22">
        <v>2232</v>
      </c>
      <c r="AJ22">
        <v>2215</v>
      </c>
      <c r="AK22">
        <v>2199</v>
      </c>
      <c r="AL22">
        <v>2183</v>
      </c>
      <c r="AM22">
        <v>2171</v>
      </c>
      <c r="AN22">
        <v>2162</v>
      </c>
      <c r="AO22">
        <v>2151</v>
      </c>
      <c r="AP22">
        <v>2138</v>
      </c>
      <c r="AQ22">
        <v>2126</v>
      </c>
      <c r="AR22">
        <v>2114</v>
      </c>
      <c r="AS22">
        <v>2100</v>
      </c>
      <c r="AT22">
        <v>2092</v>
      </c>
      <c r="AU22">
        <v>2075</v>
      </c>
      <c r="AV22">
        <v>2065</v>
      </c>
      <c r="AW22">
        <v>2060</v>
      </c>
      <c r="AX22">
        <v>2068</v>
      </c>
      <c r="AY22">
        <v>2077</v>
      </c>
      <c r="AZ22">
        <v>2077</v>
      </c>
      <c r="BA22">
        <v>2076</v>
      </c>
      <c r="BB22">
        <v>2080</v>
      </c>
      <c r="BC22">
        <v>2085</v>
      </c>
      <c r="BD22">
        <v>2088</v>
      </c>
      <c r="BE22">
        <v>2091</v>
      </c>
      <c r="BF22">
        <v>2087</v>
      </c>
      <c r="BG22">
        <v>2081</v>
      </c>
      <c r="BH22">
        <v>2075</v>
      </c>
      <c r="BI22">
        <v>2071</v>
      </c>
      <c r="BJ22">
        <v>2066</v>
      </c>
      <c r="BK22">
        <v>2061</v>
      </c>
      <c r="BL22">
        <v>2051</v>
      </c>
      <c r="BM22">
        <v>2048</v>
      </c>
      <c r="BN22">
        <v>2051</v>
      </c>
      <c r="BO22">
        <v>2058</v>
      </c>
      <c r="BP22">
        <v>2065</v>
      </c>
      <c r="BQ22">
        <v>2070</v>
      </c>
      <c r="BR22">
        <v>2075</v>
      </c>
      <c r="BS22">
        <v>2080</v>
      </c>
      <c r="BT22">
        <v>2077</v>
      </c>
      <c r="BU22">
        <v>2077.1</v>
      </c>
      <c r="BV22">
        <v>2087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x14ac:dyDescent="0.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2257</v>
      </c>
      <c r="AG23">
        <v>2243</v>
      </c>
      <c r="AH23">
        <v>2230</v>
      </c>
      <c r="AI23">
        <v>2216</v>
      </c>
      <c r="AJ23">
        <v>2201</v>
      </c>
      <c r="AK23">
        <v>2185</v>
      </c>
      <c r="AL23">
        <v>2173</v>
      </c>
      <c r="AM23">
        <v>2160</v>
      </c>
      <c r="AN23">
        <v>2150</v>
      </c>
      <c r="AO23">
        <v>2144</v>
      </c>
      <c r="AP23">
        <v>2136</v>
      </c>
      <c r="AQ23">
        <v>2123</v>
      </c>
      <c r="AR23">
        <v>2111</v>
      </c>
      <c r="AS23">
        <v>2092</v>
      </c>
      <c r="AT23">
        <v>2073</v>
      </c>
      <c r="AU23">
        <v>2062</v>
      </c>
      <c r="AV23">
        <v>2055</v>
      </c>
      <c r="AW23">
        <v>2049</v>
      </c>
      <c r="AX23">
        <v>2060</v>
      </c>
      <c r="AY23">
        <v>2067</v>
      </c>
      <c r="AZ23">
        <v>2067</v>
      </c>
      <c r="BA23">
        <v>2069</v>
      </c>
      <c r="BB23">
        <v>2074</v>
      </c>
      <c r="BC23">
        <v>2082</v>
      </c>
      <c r="BD23">
        <v>2085</v>
      </c>
      <c r="BE23">
        <v>2089</v>
      </c>
      <c r="BF23">
        <v>2088</v>
      </c>
      <c r="BG23">
        <v>2079</v>
      </c>
      <c r="BH23">
        <v>2071</v>
      </c>
      <c r="BI23">
        <v>2069</v>
      </c>
      <c r="BJ23">
        <v>2065</v>
      </c>
      <c r="BK23">
        <v>2061</v>
      </c>
      <c r="BL23">
        <v>2050</v>
      </c>
      <c r="BM23">
        <v>2045</v>
      </c>
      <c r="BN23">
        <v>2047</v>
      </c>
      <c r="BO23">
        <v>2053</v>
      </c>
      <c r="BP23">
        <v>2062</v>
      </c>
      <c r="BQ23">
        <v>2070</v>
      </c>
      <c r="BR23">
        <v>2077</v>
      </c>
      <c r="BS23">
        <v>2086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x14ac:dyDescent="0.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2253</v>
      </c>
      <c r="AD24">
        <v>2258</v>
      </c>
      <c r="AE24">
        <v>2251</v>
      </c>
      <c r="AF24">
        <v>2240</v>
      </c>
      <c r="AG24">
        <v>2226</v>
      </c>
      <c r="AH24">
        <v>2212</v>
      </c>
      <c r="AI24">
        <v>2199</v>
      </c>
      <c r="AJ24">
        <v>2182</v>
      </c>
      <c r="AK24">
        <v>2169</v>
      </c>
      <c r="AL24">
        <v>2156</v>
      </c>
      <c r="AM24">
        <v>2145</v>
      </c>
      <c r="AN24">
        <v>2136</v>
      </c>
      <c r="AO24">
        <v>2129</v>
      </c>
      <c r="AP24">
        <v>2119</v>
      </c>
      <c r="AQ24">
        <v>2111</v>
      </c>
      <c r="AR24">
        <v>2105</v>
      </c>
      <c r="AS24">
        <v>2093</v>
      </c>
      <c r="AT24">
        <v>2075</v>
      </c>
      <c r="AU24">
        <v>2059</v>
      </c>
      <c r="AV24">
        <v>2047</v>
      </c>
      <c r="AW24">
        <v>2040</v>
      </c>
      <c r="AX24">
        <v>2050</v>
      </c>
      <c r="AY24">
        <v>2054</v>
      </c>
      <c r="AZ24">
        <v>2054</v>
      </c>
      <c r="BA24">
        <v>2059</v>
      </c>
      <c r="BB24">
        <v>2073</v>
      </c>
      <c r="BC24">
        <v>2077</v>
      </c>
      <c r="BD24">
        <v>2081</v>
      </c>
      <c r="BE24">
        <v>2085</v>
      </c>
      <c r="BF24">
        <v>2086</v>
      </c>
      <c r="BG24">
        <v>2077</v>
      </c>
      <c r="BH24">
        <v>2071</v>
      </c>
      <c r="BI24">
        <v>2066</v>
      </c>
      <c r="BJ24">
        <v>2065</v>
      </c>
      <c r="BK24">
        <v>2062</v>
      </c>
      <c r="BL24">
        <v>2048</v>
      </c>
      <c r="BM24">
        <v>2045</v>
      </c>
      <c r="BN24">
        <v>2045</v>
      </c>
      <c r="BO24">
        <v>2047</v>
      </c>
      <c r="BP24">
        <v>2056</v>
      </c>
      <c r="BQ24">
        <v>2067</v>
      </c>
      <c r="BR24">
        <v>2077</v>
      </c>
      <c r="BS24">
        <v>2087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x14ac:dyDescent="0.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2265</v>
      </c>
      <c r="AC25">
        <v>2240</v>
      </c>
      <c r="AD25">
        <v>2229</v>
      </c>
      <c r="AE25">
        <v>2229</v>
      </c>
      <c r="AF25">
        <v>2218</v>
      </c>
      <c r="AG25">
        <v>2207</v>
      </c>
      <c r="AH25">
        <v>2196</v>
      </c>
      <c r="AI25">
        <v>2181</v>
      </c>
      <c r="AJ25">
        <v>2168</v>
      </c>
      <c r="AK25">
        <v>2155</v>
      </c>
      <c r="AL25">
        <v>2139</v>
      </c>
      <c r="AM25">
        <v>2126</v>
      </c>
      <c r="AN25">
        <v>2119</v>
      </c>
      <c r="AO25">
        <v>2113</v>
      </c>
      <c r="AP25">
        <v>2106</v>
      </c>
      <c r="AQ25">
        <v>2097</v>
      </c>
      <c r="AR25">
        <v>2092</v>
      </c>
      <c r="AS25">
        <v>2087</v>
      </c>
      <c r="AT25">
        <v>2077</v>
      </c>
      <c r="AU25">
        <v>2058</v>
      </c>
      <c r="AV25">
        <v>2045</v>
      </c>
      <c r="AW25">
        <v>2035</v>
      </c>
      <c r="AX25">
        <v>2038</v>
      </c>
      <c r="AY25">
        <v>2042</v>
      </c>
      <c r="AZ25">
        <v>2043</v>
      </c>
      <c r="BA25">
        <v>2049</v>
      </c>
      <c r="BB25">
        <v>2064</v>
      </c>
      <c r="BC25">
        <v>2071</v>
      </c>
      <c r="BD25">
        <v>2074</v>
      </c>
      <c r="BE25">
        <v>2078</v>
      </c>
      <c r="BF25">
        <v>2081</v>
      </c>
      <c r="BG25">
        <v>2075</v>
      </c>
      <c r="BH25">
        <v>2065</v>
      </c>
      <c r="BI25">
        <v>2062</v>
      </c>
      <c r="BJ25">
        <v>2062</v>
      </c>
      <c r="BK25">
        <v>2062</v>
      </c>
      <c r="BL25">
        <v>2057</v>
      </c>
      <c r="BM25">
        <v>2049</v>
      </c>
      <c r="BN25">
        <v>2049</v>
      </c>
      <c r="BO25">
        <v>2045</v>
      </c>
      <c r="BP25">
        <v>2048</v>
      </c>
      <c r="BQ25">
        <v>2059</v>
      </c>
      <c r="BR25">
        <v>2068</v>
      </c>
      <c r="BS25">
        <v>2079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x14ac:dyDescent="0.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2274</v>
      </c>
      <c r="AA26">
        <v>2259</v>
      </c>
      <c r="AB26">
        <v>2237</v>
      </c>
      <c r="AC26">
        <v>2212</v>
      </c>
      <c r="AD26">
        <v>2203</v>
      </c>
      <c r="AE26">
        <v>2202</v>
      </c>
      <c r="AF26">
        <v>2196</v>
      </c>
      <c r="AG26">
        <v>2187</v>
      </c>
      <c r="AH26">
        <v>2177</v>
      </c>
      <c r="AI26">
        <v>2164</v>
      </c>
      <c r="AJ26">
        <v>2151</v>
      </c>
      <c r="AK26">
        <v>2135</v>
      </c>
      <c r="AL26">
        <v>2119</v>
      </c>
      <c r="AM26">
        <v>2108</v>
      </c>
      <c r="AN26">
        <v>2103</v>
      </c>
      <c r="AO26">
        <v>2098</v>
      </c>
      <c r="AP26">
        <v>2088</v>
      </c>
      <c r="AQ26">
        <v>2083</v>
      </c>
      <c r="AR26">
        <v>2079</v>
      </c>
      <c r="AS26">
        <v>2077</v>
      </c>
      <c r="AT26">
        <v>2072</v>
      </c>
      <c r="AU26">
        <v>2061</v>
      </c>
      <c r="AV26">
        <v>2042</v>
      </c>
      <c r="AW26">
        <v>2033</v>
      </c>
      <c r="AX26">
        <v>2026</v>
      </c>
      <c r="AY26">
        <v>2027</v>
      </c>
      <c r="AZ26">
        <v>2032</v>
      </c>
      <c r="BA26">
        <v>2040</v>
      </c>
      <c r="BB26">
        <v>2053</v>
      </c>
      <c r="BC26">
        <v>2064</v>
      </c>
      <c r="BD26">
        <v>2068</v>
      </c>
      <c r="BE26">
        <v>2071</v>
      </c>
      <c r="BF26">
        <v>2074</v>
      </c>
      <c r="BG26">
        <v>2070</v>
      </c>
      <c r="BH26">
        <v>2061</v>
      </c>
      <c r="BI26">
        <v>2057</v>
      </c>
      <c r="BJ26">
        <v>2059</v>
      </c>
      <c r="BK26">
        <v>2058</v>
      </c>
      <c r="BL26">
        <v>2058</v>
      </c>
      <c r="BM26">
        <v>2057</v>
      </c>
      <c r="BN26">
        <v>2050</v>
      </c>
      <c r="BO26">
        <v>2049</v>
      </c>
      <c r="BP26">
        <v>2042</v>
      </c>
      <c r="BQ26">
        <v>2049</v>
      </c>
      <c r="BR26">
        <v>2058</v>
      </c>
      <c r="BS26">
        <v>2065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2273</v>
      </c>
      <c r="Z27">
        <v>2252</v>
      </c>
      <c r="AA27">
        <v>2235</v>
      </c>
      <c r="AB27">
        <v>2217</v>
      </c>
      <c r="AC27">
        <v>2193</v>
      </c>
      <c r="AD27">
        <v>2175</v>
      </c>
      <c r="AE27">
        <v>2179</v>
      </c>
      <c r="AF27">
        <v>2176</v>
      </c>
      <c r="AG27">
        <v>2170</v>
      </c>
      <c r="AH27">
        <v>2159</v>
      </c>
      <c r="AI27">
        <v>2147</v>
      </c>
      <c r="AJ27">
        <v>2130</v>
      </c>
      <c r="AK27">
        <v>2112</v>
      </c>
      <c r="AL27">
        <v>2101</v>
      </c>
      <c r="AM27">
        <v>2095</v>
      </c>
      <c r="AN27">
        <v>2088</v>
      </c>
      <c r="AO27">
        <v>2080</v>
      </c>
      <c r="AP27">
        <v>2074</v>
      </c>
      <c r="AQ27">
        <v>2068</v>
      </c>
      <c r="AR27">
        <v>2068</v>
      </c>
      <c r="AS27">
        <v>2067</v>
      </c>
      <c r="AT27">
        <v>2066</v>
      </c>
      <c r="AU27">
        <v>2058</v>
      </c>
      <c r="AV27">
        <v>2046</v>
      </c>
      <c r="AW27">
        <v>2037</v>
      </c>
      <c r="AX27">
        <v>2026</v>
      </c>
      <c r="AY27">
        <v>2019</v>
      </c>
      <c r="AZ27">
        <v>2023</v>
      </c>
      <c r="BA27">
        <v>2031</v>
      </c>
      <c r="BB27">
        <v>2043</v>
      </c>
      <c r="BC27">
        <v>2058</v>
      </c>
      <c r="BD27">
        <v>2062</v>
      </c>
      <c r="BE27">
        <v>2064</v>
      </c>
      <c r="BF27">
        <v>2065</v>
      </c>
      <c r="BG27">
        <v>2061</v>
      </c>
      <c r="BH27">
        <v>2056</v>
      </c>
      <c r="BI27">
        <v>2052</v>
      </c>
      <c r="BJ27">
        <v>2052</v>
      </c>
      <c r="BK27">
        <v>2053</v>
      </c>
      <c r="BL27">
        <v>2057</v>
      </c>
      <c r="BM27">
        <v>2057</v>
      </c>
      <c r="BN27">
        <v>2054</v>
      </c>
      <c r="BO27">
        <v>2052</v>
      </c>
      <c r="BP27">
        <v>2041</v>
      </c>
      <c r="BQ27">
        <v>2043</v>
      </c>
      <c r="BR27">
        <v>2048</v>
      </c>
      <c r="BS27">
        <v>2052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2273</v>
      </c>
      <c r="Y28">
        <v>2250</v>
      </c>
      <c r="Z28">
        <v>2229</v>
      </c>
      <c r="AA28">
        <v>2213</v>
      </c>
      <c r="AB28">
        <v>2198</v>
      </c>
      <c r="AC28">
        <v>2179</v>
      </c>
      <c r="AD28">
        <v>2166</v>
      </c>
      <c r="AE28">
        <v>2163</v>
      </c>
      <c r="AF28">
        <v>2162</v>
      </c>
      <c r="AG28">
        <v>2154</v>
      </c>
      <c r="AH28">
        <v>2142</v>
      </c>
      <c r="AI28">
        <v>2129</v>
      </c>
      <c r="AJ28">
        <v>2113</v>
      </c>
      <c r="AK28">
        <v>2097</v>
      </c>
      <c r="AL28">
        <v>2088</v>
      </c>
      <c r="AM28">
        <v>2080</v>
      </c>
      <c r="AN28">
        <v>2072</v>
      </c>
      <c r="AO28">
        <v>2064</v>
      </c>
      <c r="AP28">
        <v>2060</v>
      </c>
      <c r="AQ28">
        <v>2056</v>
      </c>
      <c r="AR28">
        <v>2057</v>
      </c>
      <c r="AS28">
        <v>2058</v>
      </c>
      <c r="AT28">
        <v>2058</v>
      </c>
      <c r="AU28">
        <v>2054</v>
      </c>
      <c r="AV28">
        <v>2048</v>
      </c>
      <c r="AW28">
        <v>2039</v>
      </c>
      <c r="AX28">
        <v>2028</v>
      </c>
      <c r="AY28">
        <v>2014</v>
      </c>
      <c r="AZ28">
        <v>2017</v>
      </c>
      <c r="BA28">
        <v>2023</v>
      </c>
      <c r="BB28">
        <v>2036</v>
      </c>
      <c r="BC28">
        <v>2047</v>
      </c>
      <c r="BD28">
        <v>2052</v>
      </c>
      <c r="BE28">
        <v>2056</v>
      </c>
      <c r="BF28">
        <v>2056</v>
      </c>
      <c r="BG28">
        <v>2053</v>
      </c>
      <c r="BH28">
        <v>2051</v>
      </c>
      <c r="BI28">
        <v>2046</v>
      </c>
      <c r="BJ28">
        <v>2046</v>
      </c>
      <c r="BK28">
        <v>2046</v>
      </c>
      <c r="BL28">
        <v>2053</v>
      </c>
      <c r="BM28">
        <v>2057</v>
      </c>
      <c r="BN28">
        <v>2057</v>
      </c>
      <c r="BO28">
        <v>2055</v>
      </c>
      <c r="BP28">
        <v>2039</v>
      </c>
      <c r="BQ28">
        <v>2036</v>
      </c>
      <c r="BR28">
        <v>2042</v>
      </c>
      <c r="BS28">
        <v>2045</v>
      </c>
      <c r="BT28">
        <v>2045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x14ac:dyDescent="0.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2277</v>
      </c>
      <c r="W29">
        <v>2269</v>
      </c>
      <c r="X29">
        <v>2250</v>
      </c>
      <c r="Y29">
        <v>2225</v>
      </c>
      <c r="Z29">
        <v>2207</v>
      </c>
      <c r="AA29">
        <v>2194</v>
      </c>
      <c r="AB29">
        <v>2181</v>
      </c>
      <c r="AC29">
        <v>2170</v>
      </c>
      <c r="AD29">
        <v>2159</v>
      </c>
      <c r="AE29">
        <v>2151</v>
      </c>
      <c r="AF29">
        <v>2147</v>
      </c>
      <c r="AG29">
        <v>2138</v>
      </c>
      <c r="AH29">
        <v>2127</v>
      </c>
      <c r="AI29">
        <v>2115</v>
      </c>
      <c r="AJ29">
        <v>2099</v>
      </c>
      <c r="AK29">
        <v>2086</v>
      </c>
      <c r="AL29">
        <v>2076</v>
      </c>
      <c r="AM29">
        <v>2067</v>
      </c>
      <c r="AN29">
        <v>2060</v>
      </c>
      <c r="AO29">
        <v>2053</v>
      </c>
      <c r="AP29">
        <v>2047</v>
      </c>
      <c r="AQ29">
        <v>2045</v>
      </c>
      <c r="AR29">
        <v>2048</v>
      </c>
      <c r="AS29">
        <v>2051</v>
      </c>
      <c r="AT29">
        <v>2049</v>
      </c>
      <c r="AU29">
        <v>2050</v>
      </c>
      <c r="AV29">
        <v>2045</v>
      </c>
      <c r="AW29">
        <v>2039</v>
      </c>
      <c r="AX29">
        <v>2028</v>
      </c>
      <c r="AY29">
        <v>2016</v>
      </c>
      <c r="AZ29">
        <v>2009</v>
      </c>
      <c r="BA29">
        <v>2017</v>
      </c>
      <c r="BB29">
        <v>2029</v>
      </c>
      <c r="BC29">
        <v>2038</v>
      </c>
      <c r="BD29">
        <v>2041</v>
      </c>
      <c r="BE29">
        <v>2046</v>
      </c>
      <c r="BF29">
        <v>2045</v>
      </c>
      <c r="BG29">
        <v>2046</v>
      </c>
      <c r="BH29">
        <v>2046</v>
      </c>
      <c r="BI29">
        <v>2039</v>
      </c>
      <c r="BJ29">
        <v>2039</v>
      </c>
      <c r="BK29">
        <v>2040</v>
      </c>
      <c r="BL29">
        <v>2049</v>
      </c>
      <c r="BM29">
        <v>2057</v>
      </c>
      <c r="BN29">
        <v>2056</v>
      </c>
      <c r="BO29">
        <v>2052</v>
      </c>
      <c r="BP29">
        <v>2042</v>
      </c>
      <c r="BQ29">
        <v>2029</v>
      </c>
      <c r="BR29">
        <v>2037</v>
      </c>
      <c r="BS29">
        <v>2040</v>
      </c>
      <c r="BT29">
        <v>2040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x14ac:dyDescent="0.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2312</v>
      </c>
      <c r="U30">
        <v>2283</v>
      </c>
      <c r="V30">
        <v>2263</v>
      </c>
      <c r="W30">
        <v>2245</v>
      </c>
      <c r="X30">
        <v>2223</v>
      </c>
      <c r="Y30">
        <v>2202</v>
      </c>
      <c r="Z30">
        <v>2188</v>
      </c>
      <c r="AA30">
        <v>2177</v>
      </c>
      <c r="AB30">
        <v>2168</v>
      </c>
      <c r="AC30">
        <v>2158</v>
      </c>
      <c r="AD30">
        <v>2150</v>
      </c>
      <c r="AE30">
        <v>2146</v>
      </c>
      <c r="AF30">
        <v>2135</v>
      </c>
      <c r="AG30">
        <v>2125</v>
      </c>
      <c r="AH30">
        <v>2117</v>
      </c>
      <c r="AI30">
        <v>2105</v>
      </c>
      <c r="AJ30">
        <v>2091</v>
      </c>
      <c r="AK30">
        <v>2076</v>
      </c>
      <c r="AL30">
        <v>2064</v>
      </c>
      <c r="AM30">
        <v>2057</v>
      </c>
      <c r="AN30">
        <v>2045</v>
      </c>
      <c r="AO30">
        <v>2040</v>
      </c>
      <c r="AP30">
        <v>2035</v>
      </c>
      <c r="AQ30">
        <v>2035</v>
      </c>
      <c r="AR30">
        <v>2030</v>
      </c>
      <c r="AS30">
        <v>2051</v>
      </c>
      <c r="AT30">
        <v>2047</v>
      </c>
      <c r="AU30">
        <v>2043</v>
      </c>
      <c r="AV30">
        <v>2039</v>
      </c>
      <c r="AW30">
        <v>2034</v>
      </c>
      <c r="AX30">
        <v>2027</v>
      </c>
      <c r="AY30">
        <v>2014</v>
      </c>
      <c r="AZ30">
        <v>2004</v>
      </c>
      <c r="BA30">
        <v>2012</v>
      </c>
      <c r="BB30">
        <v>2026</v>
      </c>
      <c r="BC30">
        <v>2029</v>
      </c>
      <c r="BD30">
        <v>2030</v>
      </c>
      <c r="BE30">
        <v>2034</v>
      </c>
      <c r="BF30">
        <v>2034</v>
      </c>
      <c r="BG30">
        <v>2039</v>
      </c>
      <c r="BH30">
        <v>2040</v>
      </c>
      <c r="BI30">
        <v>2034</v>
      </c>
      <c r="BJ30">
        <v>2032</v>
      </c>
      <c r="BK30">
        <v>2035</v>
      </c>
      <c r="BL30">
        <v>2044</v>
      </c>
      <c r="BM30">
        <v>2053</v>
      </c>
      <c r="BN30">
        <v>2050</v>
      </c>
      <c r="BO30">
        <v>2045</v>
      </c>
      <c r="BP30">
        <v>2041</v>
      </c>
      <c r="BQ30">
        <v>2023</v>
      </c>
      <c r="BR30">
        <v>2027</v>
      </c>
      <c r="BS30">
        <v>2036</v>
      </c>
      <c r="BT30">
        <v>2036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x14ac:dyDescent="0.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2318</v>
      </c>
      <c r="T31">
        <v>2297</v>
      </c>
      <c r="U31">
        <v>2271</v>
      </c>
      <c r="V31">
        <v>2243</v>
      </c>
      <c r="W31">
        <v>2219</v>
      </c>
      <c r="X31">
        <v>2202</v>
      </c>
      <c r="Y31">
        <v>2185</v>
      </c>
      <c r="Z31">
        <v>2174</v>
      </c>
      <c r="AA31">
        <v>2166</v>
      </c>
      <c r="AB31">
        <v>2156</v>
      </c>
      <c r="AC31">
        <v>2147</v>
      </c>
      <c r="AD31">
        <v>2140</v>
      </c>
      <c r="AE31">
        <v>2135</v>
      </c>
      <c r="AF31">
        <v>2128</v>
      </c>
      <c r="AG31">
        <v>2114</v>
      </c>
      <c r="AH31">
        <v>2108</v>
      </c>
      <c r="AI31">
        <v>2100</v>
      </c>
      <c r="AJ31">
        <v>2085</v>
      </c>
      <c r="AK31">
        <v>2068</v>
      </c>
      <c r="AL31">
        <v>2057</v>
      </c>
      <c r="AM31">
        <v>2045</v>
      </c>
      <c r="AN31">
        <v>2033</v>
      </c>
      <c r="AO31">
        <v>2031</v>
      </c>
      <c r="AP31">
        <v>2025</v>
      </c>
      <c r="AQ31">
        <v>2025</v>
      </c>
      <c r="AR31">
        <v>2024</v>
      </c>
      <c r="AS31">
        <v>2051</v>
      </c>
      <c r="AT31">
        <v>2045</v>
      </c>
      <c r="AU31">
        <v>2034</v>
      </c>
      <c r="AV31">
        <v>2034</v>
      </c>
      <c r="AW31">
        <v>2029</v>
      </c>
      <c r="AX31">
        <v>2023</v>
      </c>
      <c r="AY31">
        <v>2010</v>
      </c>
      <c r="AZ31">
        <v>1999</v>
      </c>
      <c r="BA31">
        <v>2007</v>
      </c>
      <c r="BB31">
        <v>2019</v>
      </c>
      <c r="BC31">
        <v>2020</v>
      </c>
      <c r="BD31">
        <v>2020</v>
      </c>
      <c r="BE31">
        <v>2022</v>
      </c>
      <c r="BF31">
        <v>2026</v>
      </c>
      <c r="BG31">
        <v>2033</v>
      </c>
      <c r="BH31">
        <v>2033</v>
      </c>
      <c r="BI31">
        <v>2027</v>
      </c>
      <c r="BJ31">
        <v>2023</v>
      </c>
      <c r="BK31">
        <v>2030</v>
      </c>
      <c r="BL31">
        <v>2039</v>
      </c>
      <c r="BM31">
        <v>2046</v>
      </c>
      <c r="BN31">
        <v>2044</v>
      </c>
      <c r="BO31">
        <v>2038</v>
      </c>
      <c r="BP31">
        <v>2036</v>
      </c>
      <c r="BQ31">
        <v>2025</v>
      </c>
      <c r="BR31">
        <v>2011</v>
      </c>
      <c r="BS31">
        <v>2022</v>
      </c>
      <c r="BT31">
        <v>2029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x14ac:dyDescent="0.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2336</v>
      </c>
      <c r="R32">
        <v>2318</v>
      </c>
      <c r="S32">
        <v>2297</v>
      </c>
      <c r="T32">
        <v>2282</v>
      </c>
      <c r="U32">
        <v>2257</v>
      </c>
      <c r="V32">
        <v>2229</v>
      </c>
      <c r="W32">
        <v>2203</v>
      </c>
      <c r="X32">
        <v>2180</v>
      </c>
      <c r="Y32">
        <v>2170</v>
      </c>
      <c r="Z32">
        <v>2162</v>
      </c>
      <c r="AA32">
        <v>2154</v>
      </c>
      <c r="AB32">
        <v>2146</v>
      </c>
      <c r="AC32">
        <v>2138</v>
      </c>
      <c r="AD32">
        <v>2131</v>
      </c>
      <c r="AE32">
        <v>2125</v>
      </c>
      <c r="AF32">
        <v>2120</v>
      </c>
      <c r="AG32">
        <v>2109</v>
      </c>
      <c r="AH32">
        <v>2102</v>
      </c>
      <c r="AI32">
        <v>2094</v>
      </c>
      <c r="AJ32">
        <v>2081</v>
      </c>
      <c r="AK32">
        <v>2065</v>
      </c>
      <c r="AL32">
        <v>2045</v>
      </c>
      <c r="AM32">
        <v>2033</v>
      </c>
      <c r="AN32">
        <v>2030</v>
      </c>
      <c r="AO32">
        <v>2026</v>
      </c>
      <c r="AP32">
        <v>2022</v>
      </c>
      <c r="AQ32">
        <v>2020</v>
      </c>
      <c r="AR32">
        <v>2022</v>
      </c>
      <c r="AS32">
        <v>2051</v>
      </c>
      <c r="AT32">
        <v>2035</v>
      </c>
      <c r="AU32">
        <v>2027</v>
      </c>
      <c r="AV32">
        <v>2027</v>
      </c>
      <c r="AW32">
        <v>2026</v>
      </c>
      <c r="AX32">
        <v>2020</v>
      </c>
      <c r="AY32">
        <v>2007</v>
      </c>
      <c r="AZ32">
        <v>1997</v>
      </c>
      <c r="BA32">
        <v>1997</v>
      </c>
      <c r="BB32">
        <v>2003</v>
      </c>
      <c r="BC32">
        <v>2006</v>
      </c>
      <c r="BD32">
        <v>2009</v>
      </c>
      <c r="BE32">
        <v>2011</v>
      </c>
      <c r="BF32">
        <v>2018</v>
      </c>
      <c r="BG32">
        <v>2023</v>
      </c>
      <c r="BH32">
        <v>2023</v>
      </c>
      <c r="BI32">
        <v>2017</v>
      </c>
      <c r="BJ32">
        <v>2013</v>
      </c>
      <c r="BK32">
        <v>2023</v>
      </c>
      <c r="BL32">
        <v>2031</v>
      </c>
      <c r="BM32">
        <v>2039</v>
      </c>
      <c r="BN32">
        <v>2038</v>
      </c>
      <c r="BO32">
        <v>2032</v>
      </c>
      <c r="BP32">
        <v>2030</v>
      </c>
      <c r="BQ32">
        <v>2020</v>
      </c>
      <c r="BR32">
        <v>2005</v>
      </c>
      <c r="BS32">
        <v>2015</v>
      </c>
      <c r="BT32">
        <v>2025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x14ac:dyDescent="0.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2363</v>
      </c>
      <c r="Q33">
        <v>2326</v>
      </c>
      <c r="R33">
        <v>2301</v>
      </c>
      <c r="S33">
        <v>2284</v>
      </c>
      <c r="T33">
        <v>2270</v>
      </c>
      <c r="U33">
        <v>2248</v>
      </c>
      <c r="V33">
        <v>2222</v>
      </c>
      <c r="W33">
        <v>2192</v>
      </c>
      <c r="X33">
        <v>2168</v>
      </c>
      <c r="Y33">
        <v>2159</v>
      </c>
      <c r="Z33">
        <v>2153</v>
      </c>
      <c r="AA33">
        <v>2144</v>
      </c>
      <c r="AB33">
        <v>2136</v>
      </c>
      <c r="AC33">
        <v>2130</v>
      </c>
      <c r="AD33">
        <v>2123</v>
      </c>
      <c r="AE33">
        <v>2117</v>
      </c>
      <c r="AF33">
        <v>2113</v>
      </c>
      <c r="AG33">
        <v>2108</v>
      </c>
      <c r="AH33">
        <v>2100</v>
      </c>
      <c r="AI33">
        <v>2086</v>
      </c>
      <c r="AJ33">
        <v>2073</v>
      </c>
      <c r="AK33">
        <v>2060</v>
      </c>
      <c r="AL33">
        <v>2042</v>
      </c>
      <c r="AM33">
        <v>2032</v>
      </c>
      <c r="AN33">
        <v>2033</v>
      </c>
      <c r="AO33">
        <v>2028</v>
      </c>
      <c r="AP33">
        <v>2024</v>
      </c>
      <c r="AQ33">
        <v>2024</v>
      </c>
      <c r="AR33">
        <v>2019</v>
      </c>
      <c r="AS33">
        <v>2045</v>
      </c>
      <c r="AT33">
        <v>2030</v>
      </c>
      <c r="AU33">
        <v>2017</v>
      </c>
      <c r="AV33">
        <v>2019</v>
      </c>
      <c r="AW33">
        <v>2020</v>
      </c>
      <c r="AX33">
        <v>2015</v>
      </c>
      <c r="AY33">
        <v>2007</v>
      </c>
      <c r="AZ33">
        <v>1997</v>
      </c>
      <c r="BA33">
        <v>1991</v>
      </c>
      <c r="BB33">
        <v>1991</v>
      </c>
      <c r="BC33">
        <v>1994</v>
      </c>
      <c r="BD33">
        <v>1995</v>
      </c>
      <c r="BE33">
        <v>1999</v>
      </c>
      <c r="BF33">
        <v>2005</v>
      </c>
      <c r="BG33">
        <v>2008</v>
      </c>
      <c r="BH33">
        <v>2007</v>
      </c>
      <c r="BI33">
        <v>2004</v>
      </c>
      <c r="BJ33">
        <v>2005</v>
      </c>
      <c r="BK33">
        <v>2013</v>
      </c>
      <c r="BL33">
        <v>2022</v>
      </c>
      <c r="BM33">
        <v>2028</v>
      </c>
      <c r="BN33">
        <v>2027</v>
      </c>
      <c r="BO33">
        <v>2026</v>
      </c>
      <c r="BP33">
        <v>2025</v>
      </c>
      <c r="BQ33">
        <v>2010</v>
      </c>
      <c r="BR33">
        <v>2003</v>
      </c>
      <c r="BS33">
        <v>2015</v>
      </c>
      <c r="BT33">
        <v>2022</v>
      </c>
      <c r="BU33">
        <v>2023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x14ac:dyDescent="0.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2381</v>
      </c>
      <c r="P34">
        <v>2352</v>
      </c>
      <c r="Q34">
        <v>2317</v>
      </c>
      <c r="R34">
        <v>2291</v>
      </c>
      <c r="S34">
        <v>2277</v>
      </c>
      <c r="T34">
        <v>2265</v>
      </c>
      <c r="U34">
        <v>2243</v>
      </c>
      <c r="V34">
        <v>2217</v>
      </c>
      <c r="W34">
        <v>2192</v>
      </c>
      <c r="X34">
        <v>2169</v>
      </c>
      <c r="Y34">
        <v>2151</v>
      </c>
      <c r="Z34">
        <v>2143</v>
      </c>
      <c r="AA34">
        <v>2133</v>
      </c>
      <c r="AB34">
        <v>2128</v>
      </c>
      <c r="AC34">
        <v>2122</v>
      </c>
      <c r="AD34">
        <v>2116</v>
      </c>
      <c r="AE34">
        <v>2111</v>
      </c>
      <c r="AF34">
        <v>2107</v>
      </c>
      <c r="AG34">
        <v>2099</v>
      </c>
      <c r="AH34">
        <v>2092</v>
      </c>
      <c r="AI34">
        <v>2083</v>
      </c>
      <c r="AJ34">
        <v>2064</v>
      </c>
      <c r="AK34">
        <v>2054</v>
      </c>
      <c r="AL34">
        <v>2040</v>
      </c>
      <c r="AM34">
        <v>2046</v>
      </c>
      <c r="AN34">
        <v>2045</v>
      </c>
      <c r="AO34">
        <v>2043</v>
      </c>
      <c r="AP34">
        <v>2025</v>
      </c>
      <c r="AQ34">
        <v>2025</v>
      </c>
      <c r="AR34">
        <v>2022</v>
      </c>
      <c r="AS34">
        <v>2051</v>
      </c>
      <c r="AT34">
        <v>2011</v>
      </c>
      <c r="AU34">
        <v>2007</v>
      </c>
      <c r="AV34">
        <v>2001</v>
      </c>
      <c r="AW34">
        <v>2008</v>
      </c>
      <c r="AX34">
        <v>2007</v>
      </c>
      <c r="AY34">
        <v>2003</v>
      </c>
      <c r="AZ34">
        <v>1998</v>
      </c>
      <c r="BA34">
        <v>1991</v>
      </c>
      <c r="BB34">
        <v>1987</v>
      </c>
      <c r="BC34">
        <v>1985</v>
      </c>
      <c r="BD34">
        <v>1984</v>
      </c>
      <c r="BE34">
        <v>1986</v>
      </c>
      <c r="BF34">
        <v>1989</v>
      </c>
      <c r="BG34">
        <v>1992</v>
      </c>
      <c r="BH34">
        <v>1994</v>
      </c>
      <c r="BI34">
        <v>1989</v>
      </c>
      <c r="BJ34">
        <v>1997</v>
      </c>
      <c r="BK34">
        <v>2003</v>
      </c>
      <c r="BL34">
        <v>2011</v>
      </c>
      <c r="BM34">
        <v>2014</v>
      </c>
      <c r="BN34">
        <v>2011</v>
      </c>
      <c r="BO34">
        <v>2006</v>
      </c>
      <c r="BP34">
        <v>2006</v>
      </c>
      <c r="BQ34">
        <v>1986</v>
      </c>
      <c r="BR34">
        <v>1995</v>
      </c>
      <c r="BS34">
        <v>2005</v>
      </c>
      <c r="BT34">
        <v>2014</v>
      </c>
      <c r="BU34">
        <v>2016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x14ac:dyDescent="0.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2379</v>
      </c>
      <c r="O35">
        <v>2363</v>
      </c>
      <c r="P35">
        <v>2346</v>
      </c>
      <c r="Q35">
        <v>2318</v>
      </c>
      <c r="R35">
        <v>2281</v>
      </c>
      <c r="S35">
        <v>2270</v>
      </c>
      <c r="T35">
        <v>2258</v>
      </c>
      <c r="U35">
        <v>2234</v>
      </c>
      <c r="V35">
        <v>2214</v>
      </c>
      <c r="W35">
        <v>2193</v>
      </c>
      <c r="X35">
        <v>2172</v>
      </c>
      <c r="Y35">
        <v>2153</v>
      </c>
      <c r="Z35">
        <v>2141</v>
      </c>
      <c r="AA35">
        <v>2132</v>
      </c>
      <c r="AB35">
        <v>2124</v>
      </c>
      <c r="AC35">
        <v>2115</v>
      </c>
      <c r="AD35">
        <v>2110</v>
      </c>
      <c r="AE35">
        <v>2104</v>
      </c>
      <c r="AF35">
        <v>2099</v>
      </c>
      <c r="AG35">
        <v>2091</v>
      </c>
      <c r="AH35">
        <v>2081</v>
      </c>
      <c r="AI35">
        <v>2067</v>
      </c>
      <c r="AJ35">
        <v>2062</v>
      </c>
      <c r="AK35">
        <v>2054</v>
      </c>
      <c r="AL35">
        <v>2054</v>
      </c>
      <c r="AM35">
        <v>2066</v>
      </c>
      <c r="AN35">
        <v>2074</v>
      </c>
      <c r="AO35">
        <v>2074</v>
      </c>
      <c r="AP35">
        <v>2065</v>
      </c>
      <c r="AQ35">
        <v>2030</v>
      </c>
      <c r="AR35">
        <v>2026</v>
      </c>
      <c r="AS35">
        <v>2051</v>
      </c>
      <c r="AT35">
        <v>2014</v>
      </c>
      <c r="AU35">
        <v>2014</v>
      </c>
      <c r="AV35">
        <v>2006</v>
      </c>
      <c r="AW35">
        <v>1994</v>
      </c>
      <c r="AX35">
        <v>1990</v>
      </c>
      <c r="AY35">
        <v>1989</v>
      </c>
      <c r="AZ35">
        <v>1988</v>
      </c>
      <c r="BA35">
        <v>1989</v>
      </c>
      <c r="BB35">
        <v>1990</v>
      </c>
      <c r="BC35">
        <v>1982</v>
      </c>
      <c r="BD35">
        <v>1979</v>
      </c>
      <c r="BE35">
        <v>1980</v>
      </c>
      <c r="BF35">
        <v>1979</v>
      </c>
      <c r="BG35">
        <v>1980</v>
      </c>
      <c r="BH35">
        <v>1980</v>
      </c>
      <c r="BI35">
        <v>1981</v>
      </c>
      <c r="BJ35">
        <v>1989</v>
      </c>
      <c r="BK35">
        <v>1997</v>
      </c>
      <c r="BL35">
        <v>1999</v>
      </c>
      <c r="BM35">
        <v>2000</v>
      </c>
      <c r="BN35">
        <v>2001</v>
      </c>
      <c r="BO35">
        <v>1992</v>
      </c>
      <c r="BP35">
        <v>1986</v>
      </c>
      <c r="BQ35">
        <v>1973</v>
      </c>
      <c r="BR35">
        <v>1980</v>
      </c>
      <c r="BS35">
        <v>1991</v>
      </c>
      <c r="BT35">
        <v>2003</v>
      </c>
      <c r="BU35">
        <v>2014</v>
      </c>
      <c r="BV35">
        <v>2015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2362</v>
      </c>
      <c r="O36">
        <v>2350</v>
      </c>
      <c r="P36">
        <v>2338</v>
      </c>
      <c r="Q36">
        <v>2312</v>
      </c>
      <c r="R36">
        <v>2280</v>
      </c>
      <c r="S36">
        <v>2259</v>
      </c>
      <c r="T36">
        <v>2245</v>
      </c>
      <c r="U36">
        <v>2229</v>
      </c>
      <c r="V36">
        <v>2209</v>
      </c>
      <c r="W36">
        <v>2192</v>
      </c>
      <c r="X36">
        <v>2174</v>
      </c>
      <c r="Y36">
        <v>2160</v>
      </c>
      <c r="Z36">
        <v>2147</v>
      </c>
      <c r="AA36">
        <v>2134</v>
      </c>
      <c r="AB36">
        <v>2124</v>
      </c>
      <c r="AC36">
        <v>2115</v>
      </c>
      <c r="AD36">
        <v>2107</v>
      </c>
      <c r="AE36">
        <v>2098</v>
      </c>
      <c r="AF36">
        <v>2091</v>
      </c>
      <c r="AG36">
        <v>2084</v>
      </c>
      <c r="AH36">
        <v>2077</v>
      </c>
      <c r="AI36">
        <v>2074</v>
      </c>
      <c r="AJ36">
        <v>2065</v>
      </c>
      <c r="AK36">
        <v>2057</v>
      </c>
      <c r="AL36">
        <v>2062</v>
      </c>
      <c r="AM36">
        <v>2076</v>
      </c>
      <c r="AN36">
        <v>2079</v>
      </c>
      <c r="AO36">
        <v>2079</v>
      </c>
      <c r="AP36">
        <v>2068</v>
      </c>
      <c r="AQ36">
        <v>2051</v>
      </c>
      <c r="AR36">
        <v>2051</v>
      </c>
      <c r="AS36">
        <v>2040</v>
      </c>
      <c r="AT36">
        <v>2021</v>
      </c>
      <c r="AU36">
        <v>2019</v>
      </c>
      <c r="AV36">
        <v>2010</v>
      </c>
      <c r="AW36">
        <v>1998</v>
      </c>
      <c r="AX36">
        <v>1991</v>
      </c>
      <c r="AY36">
        <v>1988</v>
      </c>
      <c r="AZ36">
        <v>1984</v>
      </c>
      <c r="BA36">
        <v>1980</v>
      </c>
      <c r="BB36">
        <v>1982</v>
      </c>
      <c r="BC36">
        <v>1976</v>
      </c>
      <c r="BD36">
        <v>1975</v>
      </c>
      <c r="BE36">
        <v>1975</v>
      </c>
      <c r="BF36">
        <v>1974</v>
      </c>
      <c r="BG36">
        <v>1973</v>
      </c>
      <c r="BH36">
        <v>1973</v>
      </c>
      <c r="BI36">
        <v>1976</v>
      </c>
      <c r="BJ36">
        <v>1982</v>
      </c>
      <c r="BK36">
        <v>1988</v>
      </c>
      <c r="BL36">
        <v>1988</v>
      </c>
      <c r="BM36">
        <v>1985</v>
      </c>
      <c r="BN36">
        <v>1987</v>
      </c>
      <c r="BO36">
        <v>1979</v>
      </c>
      <c r="BP36">
        <v>1975</v>
      </c>
      <c r="BQ36">
        <v>1967</v>
      </c>
      <c r="BR36">
        <v>1968</v>
      </c>
      <c r="BS36">
        <v>1975</v>
      </c>
      <c r="BT36">
        <v>1990</v>
      </c>
      <c r="BU36">
        <v>2004</v>
      </c>
      <c r="BV36">
        <v>2007</v>
      </c>
      <c r="BW36">
        <v>2006</v>
      </c>
      <c r="BX36">
        <v>0</v>
      </c>
      <c r="BY36">
        <v>0</v>
      </c>
      <c r="BZ36">
        <v>0</v>
      </c>
      <c r="CA36">
        <v>0</v>
      </c>
    </row>
    <row r="37" spans="1:79" x14ac:dyDescent="0.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2367</v>
      </c>
      <c r="N37">
        <v>2354</v>
      </c>
      <c r="O37">
        <v>2343</v>
      </c>
      <c r="P37">
        <v>2329</v>
      </c>
      <c r="Q37">
        <v>2309</v>
      </c>
      <c r="R37">
        <v>2276</v>
      </c>
      <c r="S37">
        <v>2258</v>
      </c>
      <c r="T37">
        <v>2240</v>
      </c>
      <c r="U37">
        <v>2219</v>
      </c>
      <c r="V37">
        <v>2202</v>
      </c>
      <c r="W37">
        <v>2184</v>
      </c>
      <c r="X37">
        <v>2170</v>
      </c>
      <c r="Y37">
        <v>2160</v>
      </c>
      <c r="Z37">
        <v>2147</v>
      </c>
      <c r="AA37">
        <v>2134</v>
      </c>
      <c r="AB37">
        <v>2125</v>
      </c>
      <c r="AC37">
        <v>2120</v>
      </c>
      <c r="AD37">
        <v>2112</v>
      </c>
      <c r="AE37">
        <v>2101</v>
      </c>
      <c r="AF37">
        <v>2094</v>
      </c>
      <c r="AG37">
        <v>2089</v>
      </c>
      <c r="AH37">
        <v>2085</v>
      </c>
      <c r="AI37">
        <v>2082</v>
      </c>
      <c r="AJ37">
        <v>2072</v>
      </c>
      <c r="AK37">
        <v>2061</v>
      </c>
      <c r="AL37">
        <v>2065</v>
      </c>
      <c r="AM37">
        <v>2075</v>
      </c>
      <c r="AN37">
        <v>2080</v>
      </c>
      <c r="AO37">
        <v>2077</v>
      </c>
      <c r="AP37">
        <v>2064</v>
      </c>
      <c r="AQ37">
        <v>2051</v>
      </c>
      <c r="AR37">
        <v>2040</v>
      </c>
      <c r="AS37">
        <v>2027</v>
      </c>
      <c r="AT37">
        <v>2028</v>
      </c>
      <c r="AU37">
        <v>2024</v>
      </c>
      <c r="AV37">
        <v>2009</v>
      </c>
      <c r="AW37">
        <v>2000</v>
      </c>
      <c r="AX37">
        <v>1995</v>
      </c>
      <c r="AY37">
        <v>1991</v>
      </c>
      <c r="AZ37">
        <v>1986</v>
      </c>
      <c r="BA37">
        <v>1983</v>
      </c>
      <c r="BB37">
        <v>1980</v>
      </c>
      <c r="BC37">
        <v>1978</v>
      </c>
      <c r="BD37">
        <v>1975</v>
      </c>
      <c r="BE37">
        <v>1973</v>
      </c>
      <c r="BF37">
        <v>1972</v>
      </c>
      <c r="BG37">
        <v>1972</v>
      </c>
      <c r="BH37">
        <v>1970</v>
      </c>
      <c r="BI37">
        <v>1971</v>
      </c>
      <c r="BJ37">
        <v>1976</v>
      </c>
      <c r="BK37">
        <v>1978</v>
      </c>
      <c r="BL37">
        <v>1977</v>
      </c>
      <c r="BM37">
        <v>1974</v>
      </c>
      <c r="BN37">
        <v>1969</v>
      </c>
      <c r="BO37">
        <v>1964</v>
      </c>
      <c r="BP37">
        <v>1960</v>
      </c>
      <c r="BQ37">
        <v>1959</v>
      </c>
      <c r="BR37">
        <v>1960</v>
      </c>
      <c r="BS37">
        <v>1964</v>
      </c>
      <c r="BT37">
        <v>1972</v>
      </c>
      <c r="BU37">
        <v>1979</v>
      </c>
      <c r="BV37">
        <v>1982</v>
      </c>
      <c r="BW37">
        <v>1983</v>
      </c>
      <c r="BX37">
        <v>0</v>
      </c>
      <c r="BY37">
        <v>0</v>
      </c>
      <c r="BZ37">
        <v>0</v>
      </c>
      <c r="CA37">
        <v>0</v>
      </c>
    </row>
    <row r="38" spans="1:79" x14ac:dyDescent="0.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2394</v>
      </c>
      <c r="L38">
        <v>2373</v>
      </c>
      <c r="M38">
        <v>2361</v>
      </c>
      <c r="N38">
        <v>2347</v>
      </c>
      <c r="O38">
        <v>2336</v>
      </c>
      <c r="P38">
        <v>2324</v>
      </c>
      <c r="Q38">
        <v>2306</v>
      </c>
      <c r="R38">
        <v>2278</v>
      </c>
      <c r="S38">
        <v>2265</v>
      </c>
      <c r="T38">
        <v>2242</v>
      </c>
      <c r="U38">
        <v>2226</v>
      </c>
      <c r="V38">
        <v>2212</v>
      </c>
      <c r="W38">
        <v>2193</v>
      </c>
      <c r="X38">
        <v>2172</v>
      </c>
      <c r="Y38">
        <v>2166</v>
      </c>
      <c r="Z38">
        <v>2155</v>
      </c>
      <c r="AA38">
        <v>2141</v>
      </c>
      <c r="AB38">
        <v>2130</v>
      </c>
      <c r="AC38">
        <v>2125</v>
      </c>
      <c r="AD38">
        <v>2117</v>
      </c>
      <c r="AE38">
        <v>2107</v>
      </c>
      <c r="AF38">
        <v>2103</v>
      </c>
      <c r="AG38">
        <v>2099</v>
      </c>
      <c r="AH38">
        <v>2093</v>
      </c>
      <c r="AI38">
        <v>2090</v>
      </c>
      <c r="AJ38">
        <v>2080</v>
      </c>
      <c r="AK38">
        <v>2067</v>
      </c>
      <c r="AL38">
        <v>2067</v>
      </c>
      <c r="AM38">
        <v>2073</v>
      </c>
      <c r="AN38">
        <v>2081</v>
      </c>
      <c r="AO38">
        <v>2074</v>
      </c>
      <c r="AP38">
        <v>2058</v>
      </c>
      <c r="AQ38">
        <v>2049</v>
      </c>
      <c r="AR38">
        <v>2041</v>
      </c>
      <c r="AS38">
        <v>2035</v>
      </c>
      <c r="AT38">
        <v>2037</v>
      </c>
      <c r="AU38">
        <v>2032</v>
      </c>
      <c r="AV38">
        <v>2017</v>
      </c>
      <c r="AW38">
        <v>2006</v>
      </c>
      <c r="AX38">
        <v>1999</v>
      </c>
      <c r="AY38">
        <v>1994</v>
      </c>
      <c r="AZ38">
        <v>1989</v>
      </c>
      <c r="BA38">
        <v>1986</v>
      </c>
      <c r="BB38">
        <v>1984</v>
      </c>
      <c r="BC38">
        <v>1982</v>
      </c>
      <c r="BD38">
        <v>1978</v>
      </c>
      <c r="BE38">
        <v>1975</v>
      </c>
      <c r="BF38">
        <v>1974</v>
      </c>
      <c r="BG38">
        <v>1972</v>
      </c>
      <c r="BH38">
        <v>1971</v>
      </c>
      <c r="BI38">
        <v>1967</v>
      </c>
      <c r="BJ38">
        <v>1963</v>
      </c>
      <c r="BK38">
        <v>1963</v>
      </c>
      <c r="BL38">
        <v>1963</v>
      </c>
      <c r="BM38">
        <v>1963</v>
      </c>
      <c r="BN38">
        <v>1960</v>
      </c>
      <c r="BO38">
        <v>1958</v>
      </c>
      <c r="BP38">
        <v>1955</v>
      </c>
      <c r="BQ38">
        <v>1953</v>
      </c>
      <c r="BR38">
        <v>1951</v>
      </c>
      <c r="BS38">
        <v>1950</v>
      </c>
      <c r="BT38">
        <v>1953</v>
      </c>
      <c r="BU38">
        <v>1957</v>
      </c>
      <c r="BV38">
        <v>1959</v>
      </c>
      <c r="BW38">
        <v>1962</v>
      </c>
      <c r="BX38">
        <v>1958</v>
      </c>
      <c r="BY38">
        <v>0</v>
      </c>
      <c r="BZ38">
        <v>0</v>
      </c>
      <c r="CA38">
        <v>0</v>
      </c>
    </row>
    <row r="39" spans="1:79" x14ac:dyDescent="0.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2460</v>
      </c>
      <c r="I39">
        <v>2433</v>
      </c>
      <c r="J39">
        <v>2413</v>
      </c>
      <c r="K39">
        <v>2389</v>
      </c>
      <c r="L39">
        <v>2372</v>
      </c>
      <c r="M39">
        <v>2354</v>
      </c>
      <c r="N39">
        <v>2342</v>
      </c>
      <c r="O39">
        <v>2333</v>
      </c>
      <c r="P39">
        <v>2321</v>
      </c>
      <c r="Q39">
        <v>2304</v>
      </c>
      <c r="R39">
        <v>2287</v>
      </c>
      <c r="S39">
        <v>2271</v>
      </c>
      <c r="T39">
        <v>2257</v>
      </c>
      <c r="U39">
        <v>2233</v>
      </c>
      <c r="V39">
        <v>2216</v>
      </c>
      <c r="W39">
        <v>2196</v>
      </c>
      <c r="X39">
        <v>2181</v>
      </c>
      <c r="Y39">
        <v>2177</v>
      </c>
      <c r="Z39">
        <v>2166</v>
      </c>
      <c r="AA39">
        <v>2147</v>
      </c>
      <c r="AB39">
        <v>2137</v>
      </c>
      <c r="AC39">
        <v>2131</v>
      </c>
      <c r="AD39">
        <v>2120</v>
      </c>
      <c r="AE39">
        <v>2115</v>
      </c>
      <c r="AF39">
        <v>2111</v>
      </c>
      <c r="AG39">
        <v>2103</v>
      </c>
      <c r="AH39">
        <v>2097</v>
      </c>
      <c r="AI39">
        <v>2096</v>
      </c>
      <c r="AJ39">
        <v>2086</v>
      </c>
      <c r="AK39">
        <v>2072</v>
      </c>
      <c r="AL39">
        <v>2071</v>
      </c>
      <c r="AM39">
        <v>2075</v>
      </c>
      <c r="AN39">
        <v>2084</v>
      </c>
      <c r="AO39">
        <v>2080</v>
      </c>
      <c r="AP39">
        <v>2061</v>
      </c>
      <c r="AQ39">
        <v>2054</v>
      </c>
      <c r="AR39">
        <v>2045</v>
      </c>
      <c r="AS39">
        <v>2046</v>
      </c>
      <c r="AT39">
        <v>2050</v>
      </c>
      <c r="AU39">
        <v>2047</v>
      </c>
      <c r="AV39">
        <v>2035</v>
      </c>
      <c r="AW39">
        <v>2015</v>
      </c>
      <c r="AX39">
        <v>2004</v>
      </c>
      <c r="AY39">
        <v>1999</v>
      </c>
      <c r="AZ39">
        <v>1993</v>
      </c>
      <c r="BA39">
        <v>1990</v>
      </c>
      <c r="BB39">
        <v>1989</v>
      </c>
      <c r="BC39">
        <v>1987</v>
      </c>
      <c r="BD39">
        <v>1985</v>
      </c>
      <c r="BE39">
        <v>1982</v>
      </c>
      <c r="BF39">
        <v>1979</v>
      </c>
      <c r="BG39">
        <v>1976</v>
      </c>
      <c r="BH39">
        <v>1974</v>
      </c>
      <c r="BI39">
        <v>1973</v>
      </c>
      <c r="BJ39">
        <v>1977</v>
      </c>
      <c r="BK39">
        <v>1985</v>
      </c>
      <c r="BL39">
        <v>1991</v>
      </c>
      <c r="BM39">
        <v>1983</v>
      </c>
      <c r="BN39">
        <v>1969</v>
      </c>
      <c r="BO39">
        <v>1962</v>
      </c>
      <c r="BP39">
        <v>1953</v>
      </c>
      <c r="BQ39">
        <v>1948</v>
      </c>
      <c r="BR39">
        <v>1946</v>
      </c>
      <c r="BS39">
        <v>1942</v>
      </c>
      <c r="BT39">
        <v>1942</v>
      </c>
      <c r="BU39">
        <v>1942</v>
      </c>
      <c r="BV39">
        <v>1944</v>
      </c>
      <c r="BW39">
        <v>1943</v>
      </c>
      <c r="BX39">
        <v>1940</v>
      </c>
      <c r="BY39">
        <v>0</v>
      </c>
      <c r="BZ39">
        <v>0</v>
      </c>
      <c r="CA39">
        <v>0</v>
      </c>
    </row>
    <row r="40" spans="1:79" x14ac:dyDescent="0.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2484</v>
      </c>
      <c r="H40">
        <v>2462</v>
      </c>
      <c r="I40">
        <v>2433</v>
      </c>
      <c r="J40">
        <v>2410</v>
      </c>
      <c r="K40">
        <v>2388</v>
      </c>
      <c r="L40">
        <v>2368</v>
      </c>
      <c r="M40">
        <v>2355</v>
      </c>
      <c r="N40">
        <v>2344</v>
      </c>
      <c r="O40">
        <v>2333</v>
      </c>
      <c r="P40">
        <v>2323</v>
      </c>
      <c r="Q40">
        <v>2311</v>
      </c>
      <c r="R40">
        <v>2296</v>
      </c>
      <c r="S40">
        <v>2281</v>
      </c>
      <c r="T40">
        <v>2261</v>
      </c>
      <c r="U40">
        <v>2238</v>
      </c>
      <c r="V40">
        <v>2218</v>
      </c>
      <c r="W40">
        <v>2202</v>
      </c>
      <c r="X40">
        <v>2198</v>
      </c>
      <c r="Y40">
        <v>2197</v>
      </c>
      <c r="Z40">
        <v>2177</v>
      </c>
      <c r="AA40">
        <v>2162</v>
      </c>
      <c r="AB40">
        <v>2150</v>
      </c>
      <c r="AC40">
        <v>2138</v>
      </c>
      <c r="AD40">
        <v>2127</v>
      </c>
      <c r="AE40">
        <v>2124</v>
      </c>
      <c r="AF40">
        <v>2116</v>
      </c>
      <c r="AG40">
        <v>2110</v>
      </c>
      <c r="AH40">
        <v>2105</v>
      </c>
      <c r="AI40">
        <v>2101</v>
      </c>
      <c r="AJ40">
        <v>2091</v>
      </c>
      <c r="AK40">
        <v>2074</v>
      </c>
      <c r="AL40">
        <v>2078</v>
      </c>
      <c r="AM40">
        <v>2087</v>
      </c>
      <c r="AN40">
        <v>2090</v>
      </c>
      <c r="AO40">
        <v>2089</v>
      </c>
      <c r="AP40">
        <v>2080</v>
      </c>
      <c r="AQ40">
        <v>2063</v>
      </c>
      <c r="AR40">
        <v>2052</v>
      </c>
      <c r="AS40">
        <v>2054</v>
      </c>
      <c r="AT40">
        <v>2064</v>
      </c>
      <c r="AU40">
        <v>2059</v>
      </c>
      <c r="AV40">
        <v>2044</v>
      </c>
      <c r="AW40">
        <v>2023</v>
      </c>
      <c r="AX40">
        <v>2014</v>
      </c>
      <c r="AY40">
        <v>2005</v>
      </c>
      <c r="AZ40">
        <v>2000</v>
      </c>
      <c r="BA40">
        <v>2000</v>
      </c>
      <c r="BB40">
        <v>1997</v>
      </c>
      <c r="BC40">
        <v>1998</v>
      </c>
      <c r="BD40">
        <v>1999</v>
      </c>
      <c r="BE40">
        <v>1996</v>
      </c>
      <c r="BF40">
        <v>1999</v>
      </c>
      <c r="BG40">
        <v>1994</v>
      </c>
      <c r="BH40">
        <v>1980</v>
      </c>
      <c r="BI40">
        <v>1978</v>
      </c>
      <c r="BJ40">
        <v>1987</v>
      </c>
      <c r="BK40">
        <v>2001</v>
      </c>
      <c r="BL40">
        <v>2006</v>
      </c>
      <c r="BM40">
        <v>2008</v>
      </c>
      <c r="BN40">
        <v>2005</v>
      </c>
      <c r="BO40">
        <v>1989</v>
      </c>
      <c r="BP40">
        <v>1961</v>
      </c>
      <c r="BQ40">
        <v>1954</v>
      </c>
      <c r="BR40">
        <v>1949</v>
      </c>
      <c r="BS40">
        <v>1945</v>
      </c>
      <c r="BT40">
        <v>1941</v>
      </c>
      <c r="BU40">
        <v>1938</v>
      </c>
      <c r="BV40">
        <v>1936</v>
      </c>
      <c r="BW40">
        <v>1934</v>
      </c>
      <c r="BX40">
        <v>1933</v>
      </c>
      <c r="BY40">
        <v>0</v>
      </c>
      <c r="BZ40">
        <v>0</v>
      </c>
      <c r="CA40">
        <v>0</v>
      </c>
    </row>
    <row r="41" spans="1:79" x14ac:dyDescent="0.5">
      <c r="A41">
        <v>0</v>
      </c>
      <c r="B41">
        <v>0</v>
      </c>
      <c r="C41">
        <v>0</v>
      </c>
      <c r="D41">
        <v>0</v>
      </c>
      <c r="E41">
        <v>0</v>
      </c>
      <c r="F41">
        <v>2518</v>
      </c>
      <c r="G41">
        <v>2502</v>
      </c>
      <c r="H41">
        <v>2467</v>
      </c>
      <c r="I41">
        <v>2443</v>
      </c>
      <c r="J41">
        <v>2418</v>
      </c>
      <c r="K41">
        <v>2393</v>
      </c>
      <c r="L41">
        <v>2373</v>
      </c>
      <c r="M41">
        <v>2357</v>
      </c>
      <c r="N41">
        <v>2346</v>
      </c>
      <c r="O41">
        <v>2340</v>
      </c>
      <c r="P41">
        <v>2332</v>
      </c>
      <c r="Q41">
        <v>2322</v>
      </c>
      <c r="R41">
        <v>2309</v>
      </c>
      <c r="S41">
        <v>2283</v>
      </c>
      <c r="T41">
        <v>2264</v>
      </c>
      <c r="U41">
        <v>2248</v>
      </c>
      <c r="V41">
        <v>2228</v>
      </c>
      <c r="W41">
        <v>2215</v>
      </c>
      <c r="X41">
        <v>2211</v>
      </c>
      <c r="Y41">
        <v>2207</v>
      </c>
      <c r="Z41">
        <v>2194</v>
      </c>
      <c r="AA41">
        <v>2173</v>
      </c>
      <c r="AB41">
        <v>2159</v>
      </c>
      <c r="AC41">
        <v>2142</v>
      </c>
      <c r="AD41">
        <v>2138</v>
      </c>
      <c r="AE41">
        <v>2129</v>
      </c>
      <c r="AF41">
        <v>2121</v>
      </c>
      <c r="AG41">
        <v>2114</v>
      </c>
      <c r="AH41">
        <v>2109</v>
      </c>
      <c r="AI41">
        <v>2104</v>
      </c>
      <c r="AJ41">
        <v>2093</v>
      </c>
      <c r="AK41">
        <v>2080</v>
      </c>
      <c r="AL41">
        <v>2090</v>
      </c>
      <c r="AM41">
        <v>2099</v>
      </c>
      <c r="AN41">
        <v>2100</v>
      </c>
      <c r="AO41">
        <v>2096</v>
      </c>
      <c r="AP41">
        <v>2090</v>
      </c>
      <c r="AQ41">
        <v>2075</v>
      </c>
      <c r="AR41">
        <v>2062</v>
      </c>
      <c r="AS41">
        <v>2060</v>
      </c>
      <c r="AT41">
        <v>2076</v>
      </c>
      <c r="AU41">
        <v>2071</v>
      </c>
      <c r="AV41">
        <v>2054</v>
      </c>
      <c r="AW41">
        <v>2039</v>
      </c>
      <c r="AX41">
        <v>2022</v>
      </c>
      <c r="AY41">
        <v>2016</v>
      </c>
      <c r="AZ41">
        <v>2012</v>
      </c>
      <c r="BA41">
        <v>2014</v>
      </c>
      <c r="BB41">
        <v>2013</v>
      </c>
      <c r="BC41">
        <v>2012</v>
      </c>
      <c r="BD41">
        <v>2019</v>
      </c>
      <c r="BE41">
        <v>2012</v>
      </c>
      <c r="BF41">
        <v>2017</v>
      </c>
      <c r="BG41">
        <v>2002</v>
      </c>
      <c r="BH41">
        <v>1989</v>
      </c>
      <c r="BI41">
        <v>1985</v>
      </c>
      <c r="BJ41">
        <v>1996</v>
      </c>
      <c r="BK41">
        <v>2007</v>
      </c>
      <c r="BL41">
        <v>2014</v>
      </c>
      <c r="BM41">
        <v>2017</v>
      </c>
      <c r="BN41">
        <v>2017</v>
      </c>
      <c r="BO41">
        <v>2002</v>
      </c>
      <c r="BP41">
        <v>1975</v>
      </c>
      <c r="BQ41">
        <v>1962</v>
      </c>
      <c r="BR41">
        <v>1954</v>
      </c>
      <c r="BS41">
        <v>1962</v>
      </c>
      <c r="BT41">
        <v>1962</v>
      </c>
      <c r="BU41">
        <v>1962</v>
      </c>
      <c r="BV41">
        <v>1962</v>
      </c>
      <c r="BW41">
        <v>1962</v>
      </c>
      <c r="BX41">
        <v>0</v>
      </c>
      <c r="BY41">
        <v>0</v>
      </c>
      <c r="BZ41">
        <v>0</v>
      </c>
      <c r="CA41">
        <v>0</v>
      </c>
    </row>
    <row r="42" spans="1:79" x14ac:dyDescent="0.5">
      <c r="A42">
        <v>0</v>
      </c>
      <c r="B42">
        <v>0</v>
      </c>
      <c r="C42">
        <v>0</v>
      </c>
      <c r="D42">
        <v>0</v>
      </c>
      <c r="E42">
        <v>0</v>
      </c>
      <c r="F42">
        <v>2535</v>
      </c>
      <c r="G42">
        <v>2523</v>
      </c>
      <c r="H42">
        <v>2491</v>
      </c>
      <c r="I42">
        <v>2463</v>
      </c>
      <c r="J42">
        <v>2432</v>
      </c>
      <c r="K42">
        <v>2399</v>
      </c>
      <c r="L42">
        <v>2378</v>
      </c>
      <c r="M42">
        <v>2366</v>
      </c>
      <c r="N42">
        <v>2356</v>
      </c>
      <c r="O42">
        <v>2357</v>
      </c>
      <c r="P42">
        <v>2352</v>
      </c>
      <c r="Q42">
        <v>2345</v>
      </c>
      <c r="R42">
        <v>2325</v>
      </c>
      <c r="S42">
        <v>2294</v>
      </c>
      <c r="T42">
        <v>2272</v>
      </c>
      <c r="U42">
        <v>2254</v>
      </c>
      <c r="V42">
        <v>2240</v>
      </c>
      <c r="W42">
        <v>2222</v>
      </c>
      <c r="X42">
        <v>2208</v>
      </c>
      <c r="Y42">
        <v>2200</v>
      </c>
      <c r="Z42">
        <v>2188</v>
      </c>
      <c r="AA42">
        <v>2170</v>
      </c>
      <c r="AB42">
        <v>2159</v>
      </c>
      <c r="AC42">
        <v>2152</v>
      </c>
      <c r="AD42">
        <v>2143</v>
      </c>
      <c r="AE42">
        <v>2133</v>
      </c>
      <c r="AF42">
        <v>2123</v>
      </c>
      <c r="AG42">
        <v>2119</v>
      </c>
      <c r="AH42">
        <v>2114</v>
      </c>
      <c r="AI42">
        <v>2107</v>
      </c>
      <c r="AJ42">
        <v>2094</v>
      </c>
      <c r="AK42">
        <v>2090</v>
      </c>
      <c r="AL42">
        <v>2106</v>
      </c>
      <c r="AM42">
        <v>2111</v>
      </c>
      <c r="AN42">
        <v>2108</v>
      </c>
      <c r="AO42">
        <v>2105</v>
      </c>
      <c r="AP42">
        <v>2096</v>
      </c>
      <c r="AQ42">
        <v>2083</v>
      </c>
      <c r="AR42">
        <v>2075</v>
      </c>
      <c r="AS42">
        <v>2070</v>
      </c>
      <c r="AT42">
        <v>2072</v>
      </c>
      <c r="AU42">
        <v>2082</v>
      </c>
      <c r="AV42">
        <v>2076</v>
      </c>
      <c r="AW42">
        <v>2063</v>
      </c>
      <c r="AX42">
        <v>2035</v>
      </c>
      <c r="AY42">
        <v>2031</v>
      </c>
      <c r="AZ42">
        <v>2029</v>
      </c>
      <c r="BA42">
        <v>2032</v>
      </c>
      <c r="BB42">
        <v>2034</v>
      </c>
      <c r="BC42">
        <v>2034</v>
      </c>
      <c r="BD42">
        <v>2034</v>
      </c>
      <c r="BE42">
        <v>2030</v>
      </c>
      <c r="BF42">
        <v>2020</v>
      </c>
      <c r="BG42">
        <v>2005</v>
      </c>
      <c r="BH42">
        <v>1995</v>
      </c>
      <c r="BI42">
        <v>1993</v>
      </c>
      <c r="BJ42">
        <v>2004</v>
      </c>
      <c r="BK42">
        <v>2015</v>
      </c>
      <c r="BL42">
        <v>2021</v>
      </c>
      <c r="BM42">
        <v>2023</v>
      </c>
      <c r="BN42">
        <v>2017</v>
      </c>
      <c r="BO42">
        <v>2003</v>
      </c>
      <c r="BP42">
        <v>1982</v>
      </c>
      <c r="BQ42">
        <v>1967</v>
      </c>
      <c r="BR42">
        <v>1962</v>
      </c>
      <c r="BS42">
        <v>1947</v>
      </c>
      <c r="BT42">
        <v>1945</v>
      </c>
      <c r="BU42">
        <v>1941</v>
      </c>
      <c r="BV42">
        <v>1940</v>
      </c>
      <c r="BW42">
        <v>1962</v>
      </c>
      <c r="BX42">
        <v>0</v>
      </c>
      <c r="BY42">
        <v>0</v>
      </c>
      <c r="BZ42">
        <v>0</v>
      </c>
      <c r="CA42">
        <v>0</v>
      </c>
    </row>
    <row r="43" spans="1:79" x14ac:dyDescent="0.5">
      <c r="A43">
        <v>0</v>
      </c>
      <c r="B43">
        <v>0</v>
      </c>
      <c r="C43">
        <v>0</v>
      </c>
      <c r="D43">
        <v>0</v>
      </c>
      <c r="E43">
        <v>0</v>
      </c>
      <c r="F43">
        <v>2551</v>
      </c>
      <c r="G43">
        <v>2539</v>
      </c>
      <c r="H43">
        <v>2500</v>
      </c>
      <c r="I43">
        <v>2469</v>
      </c>
      <c r="J43">
        <v>2438</v>
      </c>
      <c r="K43">
        <v>2408</v>
      </c>
      <c r="L43">
        <v>2387</v>
      </c>
      <c r="M43">
        <v>2382</v>
      </c>
      <c r="N43">
        <v>2379</v>
      </c>
      <c r="O43">
        <v>2375</v>
      </c>
      <c r="P43">
        <v>2369</v>
      </c>
      <c r="Q43">
        <v>2363</v>
      </c>
      <c r="R43">
        <v>2343</v>
      </c>
      <c r="S43">
        <v>2316</v>
      </c>
      <c r="T43">
        <v>2282</v>
      </c>
      <c r="U43">
        <v>2264</v>
      </c>
      <c r="V43">
        <v>2249</v>
      </c>
      <c r="W43">
        <v>2231</v>
      </c>
      <c r="X43">
        <v>2222</v>
      </c>
      <c r="Y43">
        <v>2207</v>
      </c>
      <c r="Z43">
        <v>2196</v>
      </c>
      <c r="AA43">
        <v>2187</v>
      </c>
      <c r="AB43">
        <v>2178</v>
      </c>
      <c r="AC43">
        <v>2163</v>
      </c>
      <c r="AD43">
        <v>2147</v>
      </c>
      <c r="AE43">
        <v>2137</v>
      </c>
      <c r="AF43">
        <v>2132</v>
      </c>
      <c r="AG43">
        <v>2125</v>
      </c>
      <c r="AH43">
        <v>2118</v>
      </c>
      <c r="AI43">
        <v>2110</v>
      </c>
      <c r="AJ43">
        <v>2096</v>
      </c>
      <c r="AK43">
        <v>2099</v>
      </c>
      <c r="AL43">
        <v>2115</v>
      </c>
      <c r="AM43">
        <v>2120</v>
      </c>
      <c r="AN43">
        <v>2116</v>
      </c>
      <c r="AO43">
        <v>2115</v>
      </c>
      <c r="AP43">
        <v>2114</v>
      </c>
      <c r="AQ43">
        <v>2094</v>
      </c>
      <c r="AR43">
        <v>2083</v>
      </c>
      <c r="AS43">
        <v>2078</v>
      </c>
      <c r="AT43">
        <v>2080</v>
      </c>
      <c r="AU43">
        <v>2091</v>
      </c>
      <c r="AV43">
        <v>2091</v>
      </c>
      <c r="AW43">
        <v>2082</v>
      </c>
      <c r="AX43">
        <v>2060</v>
      </c>
      <c r="AY43">
        <v>2057</v>
      </c>
      <c r="AZ43">
        <v>2053</v>
      </c>
      <c r="BA43">
        <v>2055</v>
      </c>
      <c r="BB43">
        <v>2056</v>
      </c>
      <c r="BC43">
        <v>2053</v>
      </c>
      <c r="BD43">
        <v>2046</v>
      </c>
      <c r="BE43">
        <v>2036</v>
      </c>
      <c r="BF43">
        <v>2022</v>
      </c>
      <c r="BG43">
        <v>2013</v>
      </c>
      <c r="BH43">
        <v>2000</v>
      </c>
      <c r="BI43">
        <v>1999</v>
      </c>
      <c r="BJ43">
        <v>2009</v>
      </c>
      <c r="BK43">
        <v>2020</v>
      </c>
      <c r="BL43">
        <v>2028</v>
      </c>
      <c r="BM43">
        <v>2028</v>
      </c>
      <c r="BN43">
        <v>2020</v>
      </c>
      <c r="BO43">
        <v>1995</v>
      </c>
      <c r="BP43">
        <v>1987</v>
      </c>
      <c r="BQ43">
        <v>1971</v>
      </c>
      <c r="BR43">
        <v>1962</v>
      </c>
      <c r="BS43">
        <v>1946</v>
      </c>
      <c r="BT43">
        <v>1943</v>
      </c>
      <c r="BU43">
        <v>1942</v>
      </c>
      <c r="BV43">
        <v>1951</v>
      </c>
      <c r="BW43">
        <v>1962</v>
      </c>
      <c r="BX43">
        <v>0</v>
      </c>
      <c r="BY43">
        <v>0</v>
      </c>
      <c r="BZ43">
        <v>0</v>
      </c>
      <c r="CA43">
        <v>0</v>
      </c>
    </row>
    <row r="44" spans="1:79" x14ac:dyDescent="0.5">
      <c r="A44">
        <v>0</v>
      </c>
      <c r="B44">
        <v>0</v>
      </c>
      <c r="C44">
        <v>0</v>
      </c>
      <c r="D44">
        <v>0</v>
      </c>
      <c r="E44">
        <v>0</v>
      </c>
      <c r="F44">
        <v>2554</v>
      </c>
      <c r="G44">
        <v>2536</v>
      </c>
      <c r="H44">
        <v>2503</v>
      </c>
      <c r="I44">
        <v>2467</v>
      </c>
      <c r="J44">
        <v>2435</v>
      </c>
      <c r="K44">
        <v>2411</v>
      </c>
      <c r="L44">
        <v>2398</v>
      </c>
      <c r="M44">
        <v>2390</v>
      </c>
      <c r="N44">
        <v>2383</v>
      </c>
      <c r="O44">
        <v>2374</v>
      </c>
      <c r="P44">
        <v>2368</v>
      </c>
      <c r="Q44">
        <v>2363</v>
      </c>
      <c r="R44">
        <v>2356</v>
      </c>
      <c r="S44">
        <v>2333</v>
      </c>
      <c r="T44">
        <v>2306</v>
      </c>
      <c r="U44">
        <v>2278</v>
      </c>
      <c r="V44">
        <v>2250</v>
      </c>
      <c r="W44">
        <v>2254</v>
      </c>
      <c r="X44">
        <v>2242</v>
      </c>
      <c r="Y44">
        <v>2227</v>
      </c>
      <c r="Z44">
        <v>2213</v>
      </c>
      <c r="AA44">
        <v>2200</v>
      </c>
      <c r="AB44">
        <v>2189</v>
      </c>
      <c r="AC44">
        <v>2172</v>
      </c>
      <c r="AD44">
        <v>2152</v>
      </c>
      <c r="AE44">
        <v>2144</v>
      </c>
      <c r="AF44">
        <v>2139</v>
      </c>
      <c r="AG44">
        <v>2130</v>
      </c>
      <c r="AH44">
        <v>2122</v>
      </c>
      <c r="AI44">
        <v>2111</v>
      </c>
      <c r="AJ44">
        <v>2099</v>
      </c>
      <c r="AK44">
        <v>2106</v>
      </c>
      <c r="AL44">
        <v>2125</v>
      </c>
      <c r="AM44">
        <v>2133</v>
      </c>
      <c r="AN44">
        <v>2127</v>
      </c>
      <c r="AO44">
        <v>2121</v>
      </c>
      <c r="AP44">
        <v>2122</v>
      </c>
      <c r="AQ44">
        <v>2121</v>
      </c>
      <c r="AR44">
        <v>2105</v>
      </c>
      <c r="AS44">
        <v>2090</v>
      </c>
      <c r="AT44">
        <v>2091</v>
      </c>
      <c r="AU44">
        <v>2102</v>
      </c>
      <c r="AV44">
        <v>2102</v>
      </c>
      <c r="AW44">
        <v>2095</v>
      </c>
      <c r="AX44">
        <v>2090</v>
      </c>
      <c r="AY44">
        <v>2085</v>
      </c>
      <c r="AZ44">
        <v>2080</v>
      </c>
      <c r="BA44">
        <v>2079</v>
      </c>
      <c r="BB44">
        <v>2077</v>
      </c>
      <c r="BC44">
        <v>2068</v>
      </c>
      <c r="BD44">
        <v>2060</v>
      </c>
      <c r="BE44">
        <v>2045</v>
      </c>
      <c r="BF44">
        <v>2023</v>
      </c>
      <c r="BG44">
        <v>2017</v>
      </c>
      <c r="BH44">
        <v>2007</v>
      </c>
      <c r="BI44">
        <v>2006</v>
      </c>
      <c r="BJ44">
        <v>2011</v>
      </c>
      <c r="BK44">
        <v>2021</v>
      </c>
      <c r="BL44">
        <v>2031</v>
      </c>
      <c r="BM44">
        <v>2031</v>
      </c>
      <c r="BN44">
        <v>2021</v>
      </c>
      <c r="BO44">
        <v>1990</v>
      </c>
      <c r="BP44">
        <v>1957</v>
      </c>
      <c r="BQ44">
        <v>1956</v>
      </c>
      <c r="BR44">
        <v>1952</v>
      </c>
      <c r="BS44">
        <v>1945</v>
      </c>
      <c r="BT44">
        <v>1943</v>
      </c>
      <c r="BU44">
        <v>1942</v>
      </c>
      <c r="BV44">
        <v>1954</v>
      </c>
      <c r="BW44">
        <v>1961</v>
      </c>
      <c r="BX44">
        <v>0</v>
      </c>
      <c r="BY44">
        <v>0</v>
      </c>
      <c r="BZ44">
        <v>0</v>
      </c>
      <c r="CA44">
        <v>0</v>
      </c>
    </row>
    <row r="45" spans="1:79" x14ac:dyDescent="0.5">
      <c r="A45">
        <v>0</v>
      </c>
      <c r="B45">
        <v>0</v>
      </c>
      <c r="C45">
        <v>0</v>
      </c>
      <c r="D45">
        <v>2555</v>
      </c>
      <c r="E45">
        <v>2547</v>
      </c>
      <c r="F45">
        <v>2546</v>
      </c>
      <c r="G45">
        <v>2529</v>
      </c>
      <c r="H45">
        <v>2499</v>
      </c>
      <c r="I45">
        <v>2455</v>
      </c>
      <c r="J45">
        <v>2429</v>
      </c>
      <c r="K45">
        <v>2407</v>
      </c>
      <c r="L45">
        <v>2393</v>
      </c>
      <c r="M45">
        <v>2382</v>
      </c>
      <c r="N45">
        <v>2370</v>
      </c>
      <c r="O45">
        <v>2354</v>
      </c>
      <c r="P45">
        <v>2346</v>
      </c>
      <c r="Q45">
        <v>2345</v>
      </c>
      <c r="R45">
        <v>2340</v>
      </c>
      <c r="S45">
        <v>2330</v>
      </c>
      <c r="T45">
        <v>2308</v>
      </c>
      <c r="U45">
        <v>2274</v>
      </c>
      <c r="V45">
        <v>2280</v>
      </c>
      <c r="W45">
        <v>2267</v>
      </c>
      <c r="X45">
        <v>2251</v>
      </c>
      <c r="Y45">
        <v>2238</v>
      </c>
      <c r="Z45">
        <v>2224</v>
      </c>
      <c r="AA45">
        <v>2207</v>
      </c>
      <c r="AB45">
        <v>2192</v>
      </c>
      <c r="AC45">
        <v>2176</v>
      </c>
      <c r="AD45">
        <v>2158</v>
      </c>
      <c r="AE45">
        <v>2150</v>
      </c>
      <c r="AF45">
        <v>2142</v>
      </c>
      <c r="AG45">
        <v>2135</v>
      </c>
      <c r="AH45">
        <v>2126</v>
      </c>
      <c r="AI45">
        <v>2113</v>
      </c>
      <c r="AJ45">
        <v>2102</v>
      </c>
      <c r="AK45">
        <v>2115</v>
      </c>
      <c r="AL45">
        <v>2136</v>
      </c>
      <c r="AM45">
        <v>2148</v>
      </c>
      <c r="AN45">
        <v>2142</v>
      </c>
      <c r="AO45">
        <v>2131</v>
      </c>
      <c r="AP45">
        <v>2122</v>
      </c>
      <c r="AQ45">
        <v>2119</v>
      </c>
      <c r="AR45">
        <v>2114</v>
      </c>
      <c r="AS45">
        <v>2103</v>
      </c>
      <c r="AT45">
        <v>2099</v>
      </c>
      <c r="AU45">
        <v>2112</v>
      </c>
      <c r="AV45">
        <v>2112</v>
      </c>
      <c r="AW45">
        <v>2113</v>
      </c>
      <c r="AX45">
        <v>2114</v>
      </c>
      <c r="AY45">
        <v>2111</v>
      </c>
      <c r="AZ45">
        <v>2107</v>
      </c>
      <c r="BA45">
        <v>2107</v>
      </c>
      <c r="BB45">
        <v>2101</v>
      </c>
      <c r="BC45">
        <v>2084</v>
      </c>
      <c r="BD45">
        <v>2071</v>
      </c>
      <c r="BE45">
        <v>2050</v>
      </c>
      <c r="BF45">
        <v>2031</v>
      </c>
      <c r="BG45">
        <v>2023</v>
      </c>
      <c r="BH45">
        <v>2016</v>
      </c>
      <c r="BI45">
        <v>2010</v>
      </c>
      <c r="BJ45">
        <v>2013</v>
      </c>
      <c r="BK45">
        <v>2021</v>
      </c>
      <c r="BL45">
        <v>2029</v>
      </c>
      <c r="BM45">
        <v>2029</v>
      </c>
      <c r="BN45">
        <v>2020</v>
      </c>
      <c r="BO45">
        <v>2010</v>
      </c>
      <c r="BP45">
        <v>1980</v>
      </c>
      <c r="BQ45">
        <v>1952</v>
      </c>
      <c r="BR45">
        <v>1951</v>
      </c>
      <c r="BS45">
        <v>1948</v>
      </c>
      <c r="BT45">
        <v>1944</v>
      </c>
      <c r="BU45">
        <v>1945</v>
      </c>
      <c r="BV45">
        <v>1947</v>
      </c>
      <c r="BW45">
        <v>1979</v>
      </c>
      <c r="BX45">
        <v>0</v>
      </c>
      <c r="BY45">
        <v>0</v>
      </c>
      <c r="BZ45">
        <v>0</v>
      </c>
      <c r="CA45">
        <v>0</v>
      </c>
    </row>
    <row r="46" spans="1:79" x14ac:dyDescent="0.5">
      <c r="A46">
        <v>0</v>
      </c>
      <c r="B46">
        <v>0</v>
      </c>
      <c r="C46">
        <v>0</v>
      </c>
      <c r="D46">
        <v>2556</v>
      </c>
      <c r="E46">
        <v>2540</v>
      </c>
      <c r="F46">
        <v>2533</v>
      </c>
      <c r="G46">
        <v>2520</v>
      </c>
      <c r="H46">
        <v>2484</v>
      </c>
      <c r="I46">
        <v>2447</v>
      </c>
      <c r="J46">
        <v>2421</v>
      </c>
      <c r="K46">
        <v>2397</v>
      </c>
      <c r="L46">
        <v>2380</v>
      </c>
      <c r="M46">
        <v>2366</v>
      </c>
      <c r="N46">
        <v>2352</v>
      </c>
      <c r="O46">
        <v>2341</v>
      </c>
      <c r="P46">
        <v>2336</v>
      </c>
      <c r="Q46">
        <v>2329</v>
      </c>
      <c r="R46">
        <v>2321</v>
      </c>
      <c r="S46">
        <v>2306</v>
      </c>
      <c r="T46">
        <v>2306</v>
      </c>
      <c r="U46">
        <v>2309</v>
      </c>
      <c r="V46">
        <v>2298</v>
      </c>
      <c r="W46">
        <v>2278</v>
      </c>
      <c r="X46">
        <v>2267</v>
      </c>
      <c r="Y46">
        <v>2252</v>
      </c>
      <c r="Z46">
        <v>2231</v>
      </c>
      <c r="AA46">
        <v>2209</v>
      </c>
      <c r="AB46">
        <v>2194</v>
      </c>
      <c r="AC46">
        <v>2181</v>
      </c>
      <c r="AD46">
        <v>2167</v>
      </c>
      <c r="AE46">
        <v>2154</v>
      </c>
      <c r="AF46">
        <v>2145</v>
      </c>
      <c r="AG46">
        <v>2137</v>
      </c>
      <c r="AH46">
        <v>2125</v>
      </c>
      <c r="AI46">
        <v>2114</v>
      </c>
      <c r="AJ46">
        <v>2106</v>
      </c>
      <c r="AK46">
        <v>2119</v>
      </c>
      <c r="AL46">
        <v>2139</v>
      </c>
      <c r="AM46">
        <v>2153</v>
      </c>
      <c r="AN46">
        <v>2148</v>
      </c>
      <c r="AO46">
        <v>2139</v>
      </c>
      <c r="AP46">
        <v>2128</v>
      </c>
      <c r="AQ46">
        <v>2120</v>
      </c>
      <c r="AR46">
        <v>2113</v>
      </c>
      <c r="AS46">
        <v>2105</v>
      </c>
      <c r="AT46">
        <v>2103</v>
      </c>
      <c r="AU46">
        <v>2114</v>
      </c>
      <c r="AV46">
        <v>2120</v>
      </c>
      <c r="AW46">
        <v>2127</v>
      </c>
      <c r="AX46">
        <v>2132</v>
      </c>
      <c r="AY46">
        <v>2134</v>
      </c>
      <c r="AZ46">
        <v>2138</v>
      </c>
      <c r="BA46">
        <v>2134</v>
      </c>
      <c r="BB46">
        <v>2120</v>
      </c>
      <c r="BC46">
        <v>2105</v>
      </c>
      <c r="BD46">
        <v>2082</v>
      </c>
      <c r="BE46">
        <v>2058</v>
      </c>
      <c r="BF46">
        <v>2038</v>
      </c>
      <c r="BG46">
        <v>2031</v>
      </c>
      <c r="BH46">
        <v>2026</v>
      </c>
      <c r="BI46">
        <v>2017</v>
      </c>
      <c r="BJ46">
        <v>2022</v>
      </c>
      <c r="BK46">
        <v>2025</v>
      </c>
      <c r="BL46">
        <v>2032</v>
      </c>
      <c r="BM46">
        <v>2029</v>
      </c>
      <c r="BN46">
        <v>2017</v>
      </c>
      <c r="BO46">
        <v>2008</v>
      </c>
      <c r="BP46">
        <v>1980</v>
      </c>
      <c r="BQ46">
        <v>1954</v>
      </c>
      <c r="BR46">
        <v>1953</v>
      </c>
      <c r="BS46">
        <v>1952</v>
      </c>
      <c r="BT46">
        <v>1948</v>
      </c>
      <c r="BU46">
        <v>1949</v>
      </c>
      <c r="BV46">
        <v>1968</v>
      </c>
      <c r="BW46">
        <v>1992</v>
      </c>
      <c r="BX46">
        <v>0</v>
      </c>
      <c r="BY46">
        <v>0</v>
      </c>
      <c r="BZ46">
        <v>0</v>
      </c>
      <c r="CA46">
        <v>0</v>
      </c>
    </row>
    <row r="47" spans="1:79" x14ac:dyDescent="0.5">
      <c r="A47">
        <v>0</v>
      </c>
      <c r="B47">
        <v>0</v>
      </c>
      <c r="C47">
        <v>0</v>
      </c>
      <c r="D47">
        <v>2557</v>
      </c>
      <c r="E47">
        <v>2539</v>
      </c>
      <c r="F47">
        <v>2526</v>
      </c>
      <c r="G47">
        <v>2506</v>
      </c>
      <c r="H47">
        <v>2476</v>
      </c>
      <c r="I47">
        <v>2440</v>
      </c>
      <c r="J47">
        <v>2411</v>
      </c>
      <c r="K47">
        <v>2389</v>
      </c>
      <c r="L47">
        <v>2366</v>
      </c>
      <c r="M47">
        <v>2356</v>
      </c>
      <c r="N47">
        <v>2349</v>
      </c>
      <c r="O47">
        <v>2340</v>
      </c>
      <c r="P47">
        <v>2335</v>
      </c>
      <c r="Q47">
        <v>2334</v>
      </c>
      <c r="R47">
        <v>2332</v>
      </c>
      <c r="S47">
        <v>2329</v>
      </c>
      <c r="T47">
        <v>2328</v>
      </c>
      <c r="U47">
        <v>2320</v>
      </c>
      <c r="V47">
        <v>2308</v>
      </c>
      <c r="W47">
        <v>2293</v>
      </c>
      <c r="X47">
        <v>2277</v>
      </c>
      <c r="Y47">
        <v>2258</v>
      </c>
      <c r="Z47">
        <v>2233</v>
      </c>
      <c r="AA47">
        <v>2213</v>
      </c>
      <c r="AB47">
        <v>2201</v>
      </c>
      <c r="AC47">
        <v>2189</v>
      </c>
      <c r="AD47">
        <v>2176</v>
      </c>
      <c r="AE47">
        <v>2161</v>
      </c>
      <c r="AF47">
        <v>2148</v>
      </c>
      <c r="AG47">
        <v>2139</v>
      </c>
      <c r="AH47">
        <v>2130</v>
      </c>
      <c r="AI47">
        <v>2121</v>
      </c>
      <c r="AJ47">
        <v>2109</v>
      </c>
      <c r="AK47">
        <v>2115</v>
      </c>
      <c r="AL47">
        <v>2131</v>
      </c>
      <c r="AM47">
        <v>2143</v>
      </c>
      <c r="AN47">
        <v>2143</v>
      </c>
      <c r="AO47">
        <v>2139</v>
      </c>
      <c r="AP47">
        <v>2136</v>
      </c>
      <c r="AQ47">
        <v>2126</v>
      </c>
      <c r="AR47">
        <v>2115</v>
      </c>
      <c r="AS47">
        <v>2106</v>
      </c>
      <c r="AT47">
        <v>2105</v>
      </c>
      <c r="AU47">
        <v>2113</v>
      </c>
      <c r="AV47">
        <v>2122</v>
      </c>
      <c r="AW47">
        <v>2133</v>
      </c>
      <c r="AX47">
        <v>2143</v>
      </c>
      <c r="AY47">
        <v>2152</v>
      </c>
      <c r="AZ47">
        <v>2160</v>
      </c>
      <c r="BA47">
        <v>2155</v>
      </c>
      <c r="BB47">
        <v>2139</v>
      </c>
      <c r="BC47">
        <v>2119</v>
      </c>
      <c r="BD47">
        <v>2095</v>
      </c>
      <c r="BE47">
        <v>2065</v>
      </c>
      <c r="BF47">
        <v>2047</v>
      </c>
      <c r="BG47">
        <v>2035</v>
      </c>
      <c r="BH47">
        <v>2027</v>
      </c>
      <c r="BI47">
        <v>2024</v>
      </c>
      <c r="BJ47">
        <v>2029</v>
      </c>
      <c r="BK47">
        <v>2032</v>
      </c>
      <c r="BL47">
        <v>2034</v>
      </c>
      <c r="BM47">
        <v>2029</v>
      </c>
      <c r="BN47">
        <v>2016</v>
      </c>
      <c r="BO47">
        <v>2007</v>
      </c>
      <c r="BP47">
        <v>1980</v>
      </c>
      <c r="BQ47">
        <v>1955</v>
      </c>
      <c r="BR47">
        <v>1954</v>
      </c>
      <c r="BS47">
        <v>1953</v>
      </c>
      <c r="BT47">
        <v>1950</v>
      </c>
      <c r="BU47">
        <v>1951</v>
      </c>
      <c r="BV47">
        <v>1970</v>
      </c>
      <c r="BW47">
        <v>1994</v>
      </c>
      <c r="BX47">
        <v>0</v>
      </c>
      <c r="BY47">
        <v>0</v>
      </c>
      <c r="BZ47">
        <v>0</v>
      </c>
      <c r="CA47">
        <v>0</v>
      </c>
    </row>
    <row r="48" spans="1:79" x14ac:dyDescent="0.5">
      <c r="A48">
        <v>0</v>
      </c>
      <c r="B48">
        <v>0</v>
      </c>
      <c r="C48">
        <v>0</v>
      </c>
      <c r="D48">
        <v>2562</v>
      </c>
      <c r="E48">
        <v>2545</v>
      </c>
      <c r="F48">
        <v>2524</v>
      </c>
      <c r="G48">
        <v>2495</v>
      </c>
      <c r="H48">
        <v>2465</v>
      </c>
      <c r="I48">
        <v>2430</v>
      </c>
      <c r="J48">
        <v>2406</v>
      </c>
      <c r="K48">
        <v>2377</v>
      </c>
      <c r="L48">
        <v>2362</v>
      </c>
      <c r="M48">
        <v>2356</v>
      </c>
      <c r="N48">
        <v>2350</v>
      </c>
      <c r="O48">
        <v>2347</v>
      </c>
      <c r="P48">
        <v>2344</v>
      </c>
      <c r="Q48">
        <v>2350</v>
      </c>
      <c r="R48">
        <v>2354</v>
      </c>
      <c r="S48">
        <v>2353</v>
      </c>
      <c r="T48">
        <v>2351</v>
      </c>
      <c r="U48">
        <v>2333</v>
      </c>
      <c r="V48">
        <v>2315</v>
      </c>
      <c r="W48">
        <v>2297</v>
      </c>
      <c r="X48">
        <v>2278</v>
      </c>
      <c r="Y48">
        <v>2257</v>
      </c>
      <c r="Z48">
        <v>2235</v>
      </c>
      <c r="AA48">
        <v>2217</v>
      </c>
      <c r="AB48">
        <v>2208</v>
      </c>
      <c r="AC48">
        <v>2198</v>
      </c>
      <c r="AD48">
        <v>2185</v>
      </c>
      <c r="AE48">
        <v>2169</v>
      </c>
      <c r="AF48">
        <v>2156</v>
      </c>
      <c r="AG48">
        <v>2145</v>
      </c>
      <c r="AH48">
        <v>2139</v>
      </c>
      <c r="AI48">
        <v>2139</v>
      </c>
      <c r="AJ48">
        <v>2134</v>
      </c>
      <c r="AK48">
        <v>2118</v>
      </c>
      <c r="AL48">
        <v>2121</v>
      </c>
      <c r="AM48">
        <v>2131</v>
      </c>
      <c r="AN48">
        <v>2137</v>
      </c>
      <c r="AO48">
        <v>2140</v>
      </c>
      <c r="AP48">
        <v>2144</v>
      </c>
      <c r="AQ48">
        <v>2141</v>
      </c>
      <c r="AR48">
        <v>2130</v>
      </c>
      <c r="AS48">
        <v>2117</v>
      </c>
      <c r="AT48">
        <v>2107</v>
      </c>
      <c r="AU48">
        <v>2111</v>
      </c>
      <c r="AV48">
        <v>2127</v>
      </c>
      <c r="AW48">
        <v>2140</v>
      </c>
      <c r="AX48">
        <v>2153</v>
      </c>
      <c r="AY48">
        <v>2169</v>
      </c>
      <c r="AZ48">
        <v>2177</v>
      </c>
      <c r="BA48">
        <v>2168</v>
      </c>
      <c r="BB48">
        <v>2156</v>
      </c>
      <c r="BC48">
        <v>2139</v>
      </c>
      <c r="BD48">
        <v>2111</v>
      </c>
      <c r="BE48">
        <v>2080</v>
      </c>
      <c r="BF48">
        <v>2058</v>
      </c>
      <c r="BG48">
        <v>2040</v>
      </c>
      <c r="BH48">
        <v>2031</v>
      </c>
      <c r="BI48">
        <v>2034</v>
      </c>
      <c r="BJ48">
        <v>2037</v>
      </c>
      <c r="BK48">
        <v>2040</v>
      </c>
      <c r="BL48">
        <v>2037</v>
      </c>
      <c r="BM48">
        <v>2026</v>
      </c>
      <c r="BN48">
        <v>2018</v>
      </c>
      <c r="BO48">
        <v>2009</v>
      </c>
      <c r="BP48">
        <v>1990</v>
      </c>
      <c r="BQ48">
        <v>1975</v>
      </c>
      <c r="BR48">
        <v>1956</v>
      </c>
      <c r="BS48">
        <v>1954</v>
      </c>
      <c r="BT48">
        <v>1952</v>
      </c>
      <c r="BU48">
        <v>1953</v>
      </c>
      <c r="BV48">
        <v>1980</v>
      </c>
      <c r="BW48">
        <v>1999</v>
      </c>
      <c r="BX48">
        <v>2011</v>
      </c>
      <c r="BY48">
        <v>0</v>
      </c>
      <c r="BZ48">
        <v>0</v>
      </c>
      <c r="CA48">
        <v>0</v>
      </c>
    </row>
    <row r="49" spans="1:79" x14ac:dyDescent="0.5">
      <c r="A49">
        <v>0</v>
      </c>
      <c r="B49">
        <v>0</v>
      </c>
      <c r="C49">
        <v>0</v>
      </c>
      <c r="D49">
        <v>2564</v>
      </c>
      <c r="E49">
        <v>2548</v>
      </c>
      <c r="F49">
        <v>2527</v>
      </c>
      <c r="G49">
        <v>2485</v>
      </c>
      <c r="H49">
        <v>2455</v>
      </c>
      <c r="I49">
        <v>2426</v>
      </c>
      <c r="J49">
        <v>2403</v>
      </c>
      <c r="K49">
        <v>2381</v>
      </c>
      <c r="L49">
        <v>2365</v>
      </c>
      <c r="M49">
        <v>2364</v>
      </c>
      <c r="N49">
        <v>2361</v>
      </c>
      <c r="O49">
        <v>2356</v>
      </c>
      <c r="P49">
        <v>2361</v>
      </c>
      <c r="Q49">
        <v>2365</v>
      </c>
      <c r="R49">
        <v>2368</v>
      </c>
      <c r="S49">
        <v>2370</v>
      </c>
      <c r="T49">
        <v>2353</v>
      </c>
      <c r="U49">
        <v>2331</v>
      </c>
      <c r="V49">
        <v>2313</v>
      </c>
      <c r="W49">
        <v>2296</v>
      </c>
      <c r="X49">
        <v>2275</v>
      </c>
      <c r="Y49">
        <v>2260</v>
      </c>
      <c r="Z49">
        <v>2241</v>
      </c>
      <c r="AA49">
        <v>2230</v>
      </c>
      <c r="AB49">
        <v>2215</v>
      </c>
      <c r="AC49">
        <v>2203</v>
      </c>
      <c r="AD49">
        <v>2189</v>
      </c>
      <c r="AE49">
        <v>2175</v>
      </c>
      <c r="AF49">
        <v>2165</v>
      </c>
      <c r="AG49">
        <v>2153</v>
      </c>
      <c r="AH49">
        <v>2150</v>
      </c>
      <c r="AI49">
        <v>2149</v>
      </c>
      <c r="AJ49">
        <v>2148</v>
      </c>
      <c r="AK49">
        <v>2134</v>
      </c>
      <c r="AL49">
        <v>2121</v>
      </c>
      <c r="AM49">
        <v>2125</v>
      </c>
      <c r="AN49">
        <v>2133</v>
      </c>
      <c r="AO49">
        <v>2143</v>
      </c>
      <c r="AP49">
        <v>2150</v>
      </c>
      <c r="AQ49">
        <v>2153</v>
      </c>
      <c r="AR49">
        <v>2148</v>
      </c>
      <c r="AS49">
        <v>2135</v>
      </c>
      <c r="AT49">
        <v>2117</v>
      </c>
      <c r="AU49">
        <v>2109</v>
      </c>
      <c r="AV49">
        <v>2123</v>
      </c>
      <c r="AW49">
        <v>2139</v>
      </c>
      <c r="AX49">
        <v>2161</v>
      </c>
      <c r="AY49">
        <v>2181</v>
      </c>
      <c r="AZ49">
        <v>2197</v>
      </c>
      <c r="BA49">
        <v>2188</v>
      </c>
      <c r="BB49">
        <v>2171</v>
      </c>
      <c r="BC49">
        <v>2153</v>
      </c>
      <c r="BD49">
        <v>2126</v>
      </c>
      <c r="BE49">
        <v>2096</v>
      </c>
      <c r="BF49">
        <v>2070</v>
      </c>
      <c r="BG49">
        <v>2052</v>
      </c>
      <c r="BH49">
        <v>2040</v>
      </c>
      <c r="BI49">
        <v>2042</v>
      </c>
      <c r="BJ49">
        <v>2046</v>
      </c>
      <c r="BK49">
        <v>2048</v>
      </c>
      <c r="BL49">
        <v>2045</v>
      </c>
      <c r="BM49">
        <v>2030</v>
      </c>
      <c r="BN49">
        <v>2021</v>
      </c>
      <c r="BO49">
        <v>2014</v>
      </c>
      <c r="BP49">
        <v>2007</v>
      </c>
      <c r="BQ49">
        <v>1999</v>
      </c>
      <c r="BR49">
        <v>1981</v>
      </c>
      <c r="BS49">
        <v>1957</v>
      </c>
      <c r="BT49">
        <v>1956</v>
      </c>
      <c r="BU49">
        <v>1957</v>
      </c>
      <c r="BV49">
        <v>1984</v>
      </c>
      <c r="BW49">
        <v>2005</v>
      </c>
      <c r="BX49">
        <v>2013</v>
      </c>
      <c r="BY49">
        <v>0</v>
      </c>
      <c r="BZ49">
        <v>0</v>
      </c>
      <c r="CA49">
        <v>0</v>
      </c>
    </row>
    <row r="50" spans="1:79" x14ac:dyDescent="0.5">
      <c r="A50">
        <v>0</v>
      </c>
      <c r="B50">
        <v>0</v>
      </c>
      <c r="C50">
        <v>0</v>
      </c>
      <c r="D50">
        <v>2572</v>
      </c>
      <c r="E50">
        <v>2555</v>
      </c>
      <c r="F50">
        <v>2519</v>
      </c>
      <c r="G50">
        <v>2482</v>
      </c>
      <c r="H50">
        <v>2451</v>
      </c>
      <c r="I50">
        <v>2416</v>
      </c>
      <c r="J50">
        <v>2401</v>
      </c>
      <c r="K50">
        <v>2392</v>
      </c>
      <c r="L50">
        <v>2375</v>
      </c>
      <c r="M50">
        <v>2379</v>
      </c>
      <c r="N50">
        <v>2377</v>
      </c>
      <c r="O50">
        <v>2377</v>
      </c>
      <c r="P50">
        <v>2382</v>
      </c>
      <c r="Q50">
        <v>2381</v>
      </c>
      <c r="R50">
        <v>2373</v>
      </c>
      <c r="S50">
        <v>2358</v>
      </c>
      <c r="T50">
        <v>2340</v>
      </c>
      <c r="U50">
        <v>2323</v>
      </c>
      <c r="V50">
        <v>2307</v>
      </c>
      <c r="W50">
        <v>2292</v>
      </c>
      <c r="X50">
        <v>2274</v>
      </c>
      <c r="Y50">
        <v>2261</v>
      </c>
      <c r="Z50">
        <v>2248</v>
      </c>
      <c r="AA50">
        <v>2237</v>
      </c>
      <c r="AB50">
        <v>2226</v>
      </c>
      <c r="AC50">
        <v>2211</v>
      </c>
      <c r="AD50">
        <v>2195</v>
      </c>
      <c r="AE50">
        <v>2180</v>
      </c>
      <c r="AF50">
        <v>2171</v>
      </c>
      <c r="AG50">
        <v>2162</v>
      </c>
      <c r="AH50">
        <v>2157</v>
      </c>
      <c r="AI50">
        <v>2154</v>
      </c>
      <c r="AJ50">
        <v>2150</v>
      </c>
      <c r="AK50">
        <v>2138</v>
      </c>
      <c r="AL50">
        <v>2127</v>
      </c>
      <c r="AM50">
        <v>2125</v>
      </c>
      <c r="AN50">
        <v>2134</v>
      </c>
      <c r="AO50">
        <v>2145</v>
      </c>
      <c r="AP50">
        <v>2154</v>
      </c>
      <c r="AQ50">
        <v>2161</v>
      </c>
      <c r="AR50">
        <v>2162</v>
      </c>
      <c r="AS50">
        <v>2156</v>
      </c>
      <c r="AT50">
        <v>2132</v>
      </c>
      <c r="AU50">
        <v>2117</v>
      </c>
      <c r="AV50">
        <v>2118</v>
      </c>
      <c r="AW50">
        <v>2133</v>
      </c>
      <c r="AX50">
        <v>2158</v>
      </c>
      <c r="AY50">
        <v>2186</v>
      </c>
      <c r="AZ50">
        <v>2206</v>
      </c>
      <c r="BA50">
        <v>2206</v>
      </c>
      <c r="BB50">
        <v>2190</v>
      </c>
      <c r="BC50">
        <v>2167</v>
      </c>
      <c r="BD50">
        <v>2144</v>
      </c>
      <c r="BE50">
        <v>2112</v>
      </c>
      <c r="BF50">
        <v>2088</v>
      </c>
      <c r="BG50">
        <v>2068</v>
      </c>
      <c r="BH50">
        <v>2053</v>
      </c>
      <c r="BI50">
        <v>2048</v>
      </c>
      <c r="BJ50">
        <v>2054</v>
      </c>
      <c r="BK50">
        <v>2062</v>
      </c>
      <c r="BL50">
        <v>2059</v>
      </c>
      <c r="BM50">
        <v>2042</v>
      </c>
      <c r="BN50">
        <v>2028</v>
      </c>
      <c r="BO50">
        <v>2019</v>
      </c>
      <c r="BP50">
        <v>2012</v>
      </c>
      <c r="BQ50">
        <v>2005</v>
      </c>
      <c r="BR50">
        <v>2001</v>
      </c>
      <c r="BS50">
        <v>1985</v>
      </c>
      <c r="BT50">
        <v>1975</v>
      </c>
      <c r="BU50">
        <v>1985</v>
      </c>
      <c r="BV50">
        <v>1990</v>
      </c>
      <c r="BW50">
        <v>2012</v>
      </c>
      <c r="BX50">
        <v>2019</v>
      </c>
      <c r="BY50">
        <v>0</v>
      </c>
      <c r="BZ50">
        <v>0</v>
      </c>
      <c r="CA50">
        <v>0</v>
      </c>
    </row>
    <row r="51" spans="1:79" x14ac:dyDescent="0.5">
      <c r="A51">
        <v>0</v>
      </c>
      <c r="B51">
        <v>0</v>
      </c>
      <c r="C51">
        <v>0</v>
      </c>
      <c r="D51">
        <v>2572</v>
      </c>
      <c r="E51">
        <v>2548</v>
      </c>
      <c r="F51">
        <v>2507</v>
      </c>
      <c r="G51">
        <v>2477</v>
      </c>
      <c r="H51">
        <v>2445</v>
      </c>
      <c r="I51">
        <v>2408</v>
      </c>
      <c r="J51">
        <v>2397</v>
      </c>
      <c r="K51">
        <v>2387</v>
      </c>
      <c r="L51">
        <v>2392</v>
      </c>
      <c r="M51">
        <v>2403</v>
      </c>
      <c r="N51">
        <v>2401</v>
      </c>
      <c r="O51">
        <v>2406</v>
      </c>
      <c r="P51">
        <v>2406</v>
      </c>
      <c r="Q51">
        <v>2390</v>
      </c>
      <c r="R51">
        <v>2363</v>
      </c>
      <c r="S51">
        <v>2344</v>
      </c>
      <c r="T51">
        <v>2330</v>
      </c>
      <c r="U51">
        <v>2318</v>
      </c>
      <c r="V51">
        <v>2307</v>
      </c>
      <c r="W51">
        <v>2294</v>
      </c>
      <c r="X51">
        <v>2281</v>
      </c>
      <c r="Y51">
        <v>2272</v>
      </c>
      <c r="Z51">
        <v>2256</v>
      </c>
      <c r="AA51">
        <v>2240</v>
      </c>
      <c r="AB51">
        <v>2228</v>
      </c>
      <c r="AC51">
        <v>2217</v>
      </c>
      <c r="AD51">
        <v>2201</v>
      </c>
      <c r="AE51">
        <v>2187</v>
      </c>
      <c r="AF51">
        <v>2176</v>
      </c>
      <c r="AG51">
        <v>2167</v>
      </c>
      <c r="AH51">
        <v>2161</v>
      </c>
      <c r="AI51">
        <v>2155</v>
      </c>
      <c r="AJ51">
        <v>2149</v>
      </c>
      <c r="AK51">
        <v>2137</v>
      </c>
      <c r="AL51">
        <v>2129</v>
      </c>
      <c r="AM51">
        <v>2128</v>
      </c>
      <c r="AN51">
        <v>2134</v>
      </c>
      <c r="AO51">
        <v>2145</v>
      </c>
      <c r="AP51">
        <v>2156</v>
      </c>
      <c r="AQ51">
        <v>2164</v>
      </c>
      <c r="AR51">
        <v>2169</v>
      </c>
      <c r="AS51">
        <v>2168</v>
      </c>
      <c r="AT51">
        <v>2150</v>
      </c>
      <c r="AU51">
        <v>2125</v>
      </c>
      <c r="AV51">
        <v>2117</v>
      </c>
      <c r="AW51">
        <v>2122</v>
      </c>
      <c r="AX51">
        <v>2149</v>
      </c>
      <c r="AY51">
        <v>2179</v>
      </c>
      <c r="AZ51">
        <v>2205</v>
      </c>
      <c r="BA51">
        <v>2222</v>
      </c>
      <c r="BB51">
        <v>2207</v>
      </c>
      <c r="BC51">
        <v>2181</v>
      </c>
      <c r="BD51">
        <v>2156</v>
      </c>
      <c r="BE51">
        <v>2128</v>
      </c>
      <c r="BF51">
        <v>2102</v>
      </c>
      <c r="BG51">
        <v>2081</v>
      </c>
      <c r="BH51">
        <v>2071</v>
      </c>
      <c r="BI51">
        <v>2057</v>
      </c>
      <c r="BJ51">
        <v>2061</v>
      </c>
      <c r="BK51">
        <v>2070</v>
      </c>
      <c r="BL51">
        <v>2073</v>
      </c>
      <c r="BM51">
        <v>2060</v>
      </c>
      <c r="BN51">
        <v>2039</v>
      </c>
      <c r="BO51">
        <v>2024</v>
      </c>
      <c r="BP51">
        <v>2018</v>
      </c>
      <c r="BQ51">
        <v>2012</v>
      </c>
      <c r="BR51">
        <v>2014</v>
      </c>
      <c r="BS51">
        <v>2009</v>
      </c>
      <c r="BT51">
        <v>1998</v>
      </c>
      <c r="BU51">
        <v>2005</v>
      </c>
      <c r="BV51">
        <v>2014</v>
      </c>
      <c r="BW51">
        <v>2020</v>
      </c>
      <c r="BX51">
        <v>2026</v>
      </c>
      <c r="BY51">
        <v>0</v>
      </c>
      <c r="BZ51">
        <v>0</v>
      </c>
      <c r="CA51">
        <v>0</v>
      </c>
    </row>
    <row r="52" spans="1:79" x14ac:dyDescent="0.5">
      <c r="A52">
        <v>0</v>
      </c>
      <c r="B52">
        <v>0</v>
      </c>
      <c r="C52">
        <v>2578</v>
      </c>
      <c r="D52">
        <v>2565</v>
      </c>
      <c r="E52">
        <v>2536</v>
      </c>
      <c r="F52">
        <v>2495</v>
      </c>
      <c r="G52">
        <v>2465</v>
      </c>
      <c r="H52">
        <v>2438</v>
      </c>
      <c r="I52">
        <v>2411</v>
      </c>
      <c r="J52">
        <v>2397.1</v>
      </c>
      <c r="K52">
        <v>2403</v>
      </c>
      <c r="L52">
        <v>2411</v>
      </c>
      <c r="M52">
        <v>2420</v>
      </c>
      <c r="N52">
        <v>2426</v>
      </c>
      <c r="O52">
        <v>2428</v>
      </c>
      <c r="P52">
        <v>2422</v>
      </c>
      <c r="Q52">
        <v>2408</v>
      </c>
      <c r="R52">
        <v>2382</v>
      </c>
      <c r="S52">
        <v>2364</v>
      </c>
      <c r="T52">
        <v>2343</v>
      </c>
      <c r="U52">
        <v>2325</v>
      </c>
      <c r="V52">
        <v>2313</v>
      </c>
      <c r="W52">
        <v>2303</v>
      </c>
      <c r="X52">
        <v>2290</v>
      </c>
      <c r="Y52">
        <v>2279</v>
      </c>
      <c r="Z52">
        <v>2264</v>
      </c>
      <c r="AA52">
        <v>2245</v>
      </c>
      <c r="AB52">
        <v>2230</v>
      </c>
      <c r="AC52">
        <v>2217</v>
      </c>
      <c r="AD52">
        <v>2206</v>
      </c>
      <c r="AE52">
        <v>2194</v>
      </c>
      <c r="AF52">
        <v>2180</v>
      </c>
      <c r="AG52">
        <v>2170</v>
      </c>
      <c r="AH52">
        <v>2162</v>
      </c>
      <c r="AI52">
        <v>2154</v>
      </c>
      <c r="AJ52">
        <v>2146</v>
      </c>
      <c r="AK52">
        <v>2137</v>
      </c>
      <c r="AL52">
        <v>2129</v>
      </c>
      <c r="AM52">
        <v>2130</v>
      </c>
      <c r="AN52">
        <v>2134</v>
      </c>
      <c r="AO52">
        <v>2144</v>
      </c>
      <c r="AP52">
        <v>2155</v>
      </c>
      <c r="AQ52">
        <v>2166</v>
      </c>
      <c r="AR52">
        <v>2172</v>
      </c>
      <c r="AS52">
        <v>2177</v>
      </c>
      <c r="AT52">
        <v>2169</v>
      </c>
      <c r="AU52">
        <v>2146</v>
      </c>
      <c r="AV52">
        <v>2125</v>
      </c>
      <c r="AW52">
        <v>2121</v>
      </c>
      <c r="AX52">
        <v>2136</v>
      </c>
      <c r="AY52">
        <v>2169</v>
      </c>
      <c r="AZ52">
        <v>2201</v>
      </c>
      <c r="BA52">
        <v>2221</v>
      </c>
      <c r="BB52">
        <v>2218</v>
      </c>
      <c r="BC52">
        <v>2198</v>
      </c>
      <c r="BD52">
        <v>2171</v>
      </c>
      <c r="BE52">
        <v>2138</v>
      </c>
      <c r="BF52">
        <v>2114</v>
      </c>
      <c r="BG52">
        <v>2094</v>
      </c>
      <c r="BH52">
        <v>2081</v>
      </c>
      <c r="BI52">
        <v>2071</v>
      </c>
      <c r="BJ52">
        <v>2072</v>
      </c>
      <c r="BK52">
        <v>2077</v>
      </c>
      <c r="BL52">
        <v>2079</v>
      </c>
      <c r="BM52">
        <v>2074</v>
      </c>
      <c r="BN52">
        <v>2053</v>
      </c>
      <c r="BO52">
        <v>2034</v>
      </c>
      <c r="BP52">
        <v>2026</v>
      </c>
      <c r="BQ52">
        <v>2027</v>
      </c>
      <c r="BR52">
        <v>2027</v>
      </c>
      <c r="BS52">
        <v>2023</v>
      </c>
      <c r="BT52">
        <v>2008</v>
      </c>
      <c r="BU52">
        <v>2010</v>
      </c>
      <c r="BV52">
        <v>2024</v>
      </c>
      <c r="BW52">
        <v>2031</v>
      </c>
      <c r="BX52">
        <v>2037</v>
      </c>
      <c r="BY52">
        <v>0</v>
      </c>
      <c r="BZ52">
        <v>0</v>
      </c>
      <c r="CA52">
        <v>0</v>
      </c>
    </row>
    <row r="53" spans="1:79" x14ac:dyDescent="0.5">
      <c r="A53">
        <v>0</v>
      </c>
      <c r="B53">
        <v>0</v>
      </c>
      <c r="C53">
        <v>2584</v>
      </c>
      <c r="D53">
        <v>2564</v>
      </c>
      <c r="E53">
        <v>2526</v>
      </c>
      <c r="F53">
        <v>2491</v>
      </c>
      <c r="G53">
        <v>2462</v>
      </c>
      <c r="H53">
        <v>2429</v>
      </c>
      <c r="I53">
        <v>2415</v>
      </c>
      <c r="J53">
        <v>2409</v>
      </c>
      <c r="K53">
        <v>2419</v>
      </c>
      <c r="L53">
        <v>2426</v>
      </c>
      <c r="M53">
        <v>2438</v>
      </c>
      <c r="N53">
        <v>2444</v>
      </c>
      <c r="O53">
        <v>2445</v>
      </c>
      <c r="P53">
        <v>2442</v>
      </c>
      <c r="Q53">
        <v>2432</v>
      </c>
      <c r="R53">
        <v>2412</v>
      </c>
      <c r="S53">
        <v>2384</v>
      </c>
      <c r="T53">
        <v>2363</v>
      </c>
      <c r="U53">
        <v>2344</v>
      </c>
      <c r="V53">
        <v>2325</v>
      </c>
      <c r="W53">
        <v>2313</v>
      </c>
      <c r="X53">
        <v>2302</v>
      </c>
      <c r="Y53">
        <v>2293</v>
      </c>
      <c r="Z53">
        <v>2277</v>
      </c>
      <c r="AA53">
        <v>2255</v>
      </c>
      <c r="AB53">
        <v>2236</v>
      </c>
      <c r="AC53">
        <v>2218</v>
      </c>
      <c r="AD53">
        <v>2205</v>
      </c>
      <c r="AE53">
        <v>2194</v>
      </c>
      <c r="AF53">
        <v>2183</v>
      </c>
      <c r="AG53">
        <v>2172</v>
      </c>
      <c r="AH53">
        <v>2163</v>
      </c>
      <c r="AI53">
        <v>2154</v>
      </c>
      <c r="AJ53">
        <v>2145</v>
      </c>
      <c r="AK53">
        <v>2139</v>
      </c>
      <c r="AL53">
        <v>2132</v>
      </c>
      <c r="AM53">
        <v>2132</v>
      </c>
      <c r="AN53">
        <v>2138</v>
      </c>
      <c r="AO53">
        <v>2148</v>
      </c>
      <c r="AP53">
        <v>2162</v>
      </c>
      <c r="AQ53">
        <v>2172</v>
      </c>
      <c r="AR53">
        <v>2183</v>
      </c>
      <c r="AS53">
        <v>2189</v>
      </c>
      <c r="AT53">
        <v>2188</v>
      </c>
      <c r="AU53">
        <v>2167</v>
      </c>
      <c r="AV53">
        <v>2141</v>
      </c>
      <c r="AW53">
        <v>2134</v>
      </c>
      <c r="AX53">
        <v>2136</v>
      </c>
      <c r="AY53">
        <v>2164</v>
      </c>
      <c r="AZ53">
        <v>2193</v>
      </c>
      <c r="BA53">
        <v>2219</v>
      </c>
      <c r="BB53">
        <v>2225</v>
      </c>
      <c r="BC53">
        <v>2206</v>
      </c>
      <c r="BD53">
        <v>2177</v>
      </c>
      <c r="BE53">
        <v>2150</v>
      </c>
      <c r="BF53">
        <v>2124</v>
      </c>
      <c r="BG53">
        <v>2103</v>
      </c>
      <c r="BH53">
        <v>2090</v>
      </c>
      <c r="BI53">
        <v>2085</v>
      </c>
      <c r="BJ53">
        <v>2083</v>
      </c>
      <c r="BK53">
        <v>2083</v>
      </c>
      <c r="BL53">
        <v>2083</v>
      </c>
      <c r="BM53">
        <v>2076</v>
      </c>
      <c r="BN53">
        <v>2059</v>
      </c>
      <c r="BO53">
        <v>2043</v>
      </c>
      <c r="BP53">
        <v>2036</v>
      </c>
      <c r="BQ53">
        <v>2037</v>
      </c>
      <c r="BR53">
        <v>2039</v>
      </c>
      <c r="BS53">
        <v>2036</v>
      </c>
      <c r="BT53">
        <v>2025</v>
      </c>
      <c r="BU53">
        <v>2017</v>
      </c>
      <c r="BV53">
        <v>2033</v>
      </c>
      <c r="BW53">
        <v>2050</v>
      </c>
      <c r="BX53">
        <v>2053</v>
      </c>
      <c r="BY53">
        <v>2062</v>
      </c>
      <c r="BZ53">
        <v>0</v>
      </c>
      <c r="CA53">
        <v>0</v>
      </c>
    </row>
    <row r="54" spans="1:79" x14ac:dyDescent="0.5">
      <c r="A54">
        <v>0</v>
      </c>
      <c r="B54">
        <v>0</v>
      </c>
      <c r="C54">
        <v>2587</v>
      </c>
      <c r="D54">
        <v>2556</v>
      </c>
      <c r="E54">
        <v>2513</v>
      </c>
      <c r="F54">
        <v>2486</v>
      </c>
      <c r="G54">
        <v>2469</v>
      </c>
      <c r="H54">
        <v>2452</v>
      </c>
      <c r="I54">
        <v>2429</v>
      </c>
      <c r="J54">
        <v>2429</v>
      </c>
      <c r="K54">
        <v>2433</v>
      </c>
      <c r="L54">
        <v>2440</v>
      </c>
      <c r="M54">
        <v>2452</v>
      </c>
      <c r="N54">
        <v>2457</v>
      </c>
      <c r="O54">
        <v>2459</v>
      </c>
      <c r="P54">
        <v>2465</v>
      </c>
      <c r="Q54">
        <v>2460</v>
      </c>
      <c r="R54">
        <v>2433</v>
      </c>
      <c r="S54">
        <v>2409</v>
      </c>
      <c r="T54">
        <v>2388</v>
      </c>
      <c r="U54">
        <v>2361</v>
      </c>
      <c r="V54">
        <v>2341</v>
      </c>
      <c r="W54">
        <v>2327</v>
      </c>
      <c r="X54">
        <v>2315</v>
      </c>
      <c r="Y54">
        <v>2306</v>
      </c>
      <c r="Z54">
        <v>2289</v>
      </c>
      <c r="AA54">
        <v>2265</v>
      </c>
      <c r="AB54">
        <v>2245</v>
      </c>
      <c r="AC54">
        <v>2225</v>
      </c>
      <c r="AD54">
        <v>2206</v>
      </c>
      <c r="AE54">
        <v>2192</v>
      </c>
      <c r="AF54">
        <v>2183</v>
      </c>
      <c r="AG54">
        <v>2171</v>
      </c>
      <c r="AH54">
        <v>2162</v>
      </c>
      <c r="AI54">
        <v>2153</v>
      </c>
      <c r="AJ54">
        <v>2145</v>
      </c>
      <c r="AK54">
        <v>2141</v>
      </c>
      <c r="AL54">
        <v>2135</v>
      </c>
      <c r="AM54">
        <v>2137</v>
      </c>
      <c r="AN54">
        <v>2147</v>
      </c>
      <c r="AO54">
        <v>2161</v>
      </c>
      <c r="AP54">
        <v>2173</v>
      </c>
      <c r="AQ54">
        <v>2190</v>
      </c>
      <c r="AR54">
        <v>2202</v>
      </c>
      <c r="AS54">
        <v>2213</v>
      </c>
      <c r="AT54">
        <v>2213</v>
      </c>
      <c r="AU54">
        <v>2188</v>
      </c>
      <c r="AV54">
        <v>2161</v>
      </c>
      <c r="AW54">
        <v>2152</v>
      </c>
      <c r="AX54">
        <v>2144</v>
      </c>
      <c r="AY54">
        <v>2159</v>
      </c>
      <c r="AZ54">
        <v>2190</v>
      </c>
      <c r="BA54">
        <v>2216</v>
      </c>
      <c r="BB54">
        <v>2228</v>
      </c>
      <c r="BC54">
        <v>2215</v>
      </c>
      <c r="BD54">
        <v>2184</v>
      </c>
      <c r="BE54">
        <v>2159</v>
      </c>
      <c r="BF54">
        <v>2137</v>
      </c>
      <c r="BG54">
        <v>2114</v>
      </c>
      <c r="BH54">
        <v>2100</v>
      </c>
      <c r="BI54">
        <v>2095</v>
      </c>
      <c r="BJ54">
        <v>2096</v>
      </c>
      <c r="BK54">
        <v>2093</v>
      </c>
      <c r="BL54">
        <v>2090</v>
      </c>
      <c r="BM54">
        <v>2086</v>
      </c>
      <c r="BN54">
        <v>2068</v>
      </c>
      <c r="BO54">
        <v>2053</v>
      </c>
      <c r="BP54">
        <v>2046</v>
      </c>
      <c r="BQ54">
        <v>2050</v>
      </c>
      <c r="BR54">
        <v>2053</v>
      </c>
      <c r="BS54">
        <v>2054</v>
      </c>
      <c r="BT54">
        <v>2042</v>
      </c>
      <c r="BU54">
        <v>2029</v>
      </c>
      <c r="BV54">
        <v>2037</v>
      </c>
      <c r="BW54">
        <v>2053</v>
      </c>
      <c r="BX54">
        <v>2061</v>
      </c>
      <c r="BY54">
        <v>2066</v>
      </c>
      <c r="BZ54">
        <v>0</v>
      </c>
      <c r="CA54">
        <v>0</v>
      </c>
    </row>
    <row r="55" spans="1:79" x14ac:dyDescent="0.5">
      <c r="A55">
        <v>0</v>
      </c>
      <c r="B55">
        <v>2614</v>
      </c>
      <c r="C55">
        <v>2586</v>
      </c>
      <c r="D55">
        <v>2557</v>
      </c>
      <c r="E55">
        <v>2533</v>
      </c>
      <c r="F55">
        <v>2508</v>
      </c>
      <c r="G55">
        <v>2483</v>
      </c>
      <c r="H55">
        <v>2465</v>
      </c>
      <c r="I55">
        <v>2441</v>
      </c>
      <c r="J55">
        <v>2447</v>
      </c>
      <c r="K55">
        <v>2445</v>
      </c>
      <c r="L55">
        <v>2456</v>
      </c>
      <c r="M55">
        <v>2464</v>
      </c>
      <c r="N55">
        <v>2469</v>
      </c>
      <c r="O55">
        <v>2473</v>
      </c>
      <c r="P55">
        <v>2479</v>
      </c>
      <c r="Q55">
        <v>2481</v>
      </c>
      <c r="R55">
        <v>2453</v>
      </c>
      <c r="S55">
        <v>2428</v>
      </c>
      <c r="T55">
        <v>2407</v>
      </c>
      <c r="U55">
        <v>2380</v>
      </c>
      <c r="V55">
        <v>2357</v>
      </c>
      <c r="W55">
        <v>2339</v>
      </c>
      <c r="X55">
        <v>2325</v>
      </c>
      <c r="Y55">
        <v>2313</v>
      </c>
      <c r="Z55">
        <v>2297</v>
      </c>
      <c r="AA55">
        <v>2275</v>
      </c>
      <c r="AB55">
        <v>2254</v>
      </c>
      <c r="AC55">
        <v>2232</v>
      </c>
      <c r="AD55">
        <v>2209</v>
      </c>
      <c r="AE55">
        <v>2194</v>
      </c>
      <c r="AF55">
        <v>2182</v>
      </c>
      <c r="AG55">
        <v>2171</v>
      </c>
      <c r="AH55">
        <v>2161</v>
      </c>
      <c r="AI55">
        <v>2153</v>
      </c>
      <c r="AJ55">
        <v>2146</v>
      </c>
      <c r="AK55">
        <v>2143</v>
      </c>
      <c r="AL55">
        <v>2138</v>
      </c>
      <c r="AM55">
        <v>2144</v>
      </c>
      <c r="AN55">
        <v>2157</v>
      </c>
      <c r="AO55">
        <v>2172</v>
      </c>
      <c r="AP55">
        <v>2189</v>
      </c>
      <c r="AQ55">
        <v>2207</v>
      </c>
      <c r="AR55">
        <v>2223</v>
      </c>
      <c r="AS55">
        <v>2235</v>
      </c>
      <c r="AT55">
        <v>2236</v>
      </c>
      <c r="AU55">
        <v>2205</v>
      </c>
      <c r="AV55">
        <v>2180</v>
      </c>
      <c r="AW55">
        <v>2166</v>
      </c>
      <c r="AX55">
        <v>2159</v>
      </c>
      <c r="AY55">
        <v>2165</v>
      </c>
      <c r="AZ55">
        <v>2187</v>
      </c>
      <c r="BA55">
        <v>2212</v>
      </c>
      <c r="BB55">
        <v>2232</v>
      </c>
      <c r="BC55">
        <v>2225</v>
      </c>
      <c r="BD55">
        <v>2194</v>
      </c>
      <c r="BE55">
        <v>2169</v>
      </c>
      <c r="BF55">
        <v>2153</v>
      </c>
      <c r="BG55">
        <v>2134</v>
      </c>
      <c r="BH55">
        <v>2112</v>
      </c>
      <c r="BI55">
        <v>2108</v>
      </c>
      <c r="BJ55">
        <v>2106</v>
      </c>
      <c r="BK55">
        <v>2104</v>
      </c>
      <c r="BL55">
        <v>2098</v>
      </c>
      <c r="BM55">
        <v>2091</v>
      </c>
      <c r="BN55">
        <v>2078</v>
      </c>
      <c r="BO55">
        <v>2067</v>
      </c>
      <c r="BP55">
        <v>2058</v>
      </c>
      <c r="BQ55">
        <v>2062</v>
      </c>
      <c r="BR55">
        <v>2067</v>
      </c>
      <c r="BS55">
        <v>2068</v>
      </c>
      <c r="BT55">
        <v>2066</v>
      </c>
      <c r="BU55">
        <v>2041</v>
      </c>
      <c r="BV55">
        <v>2048</v>
      </c>
      <c r="BW55">
        <v>2058</v>
      </c>
      <c r="BX55">
        <v>2065</v>
      </c>
      <c r="BY55">
        <v>2072</v>
      </c>
      <c r="BZ55">
        <v>0</v>
      </c>
      <c r="CA55">
        <v>0</v>
      </c>
    </row>
    <row r="56" spans="1:79" x14ac:dyDescent="0.5">
      <c r="A56">
        <v>0</v>
      </c>
      <c r="B56">
        <v>2609</v>
      </c>
      <c r="C56">
        <v>2575</v>
      </c>
      <c r="D56">
        <v>2545</v>
      </c>
      <c r="E56">
        <v>2535</v>
      </c>
      <c r="F56">
        <v>2525</v>
      </c>
      <c r="G56">
        <v>2504</v>
      </c>
      <c r="H56">
        <v>2475</v>
      </c>
      <c r="I56">
        <v>2466</v>
      </c>
      <c r="J56">
        <v>2456</v>
      </c>
      <c r="K56">
        <v>2453</v>
      </c>
      <c r="L56">
        <v>2469</v>
      </c>
      <c r="M56">
        <v>2478</v>
      </c>
      <c r="N56">
        <v>2479</v>
      </c>
      <c r="O56">
        <v>2484</v>
      </c>
      <c r="P56">
        <v>2492</v>
      </c>
      <c r="Q56">
        <v>2493</v>
      </c>
      <c r="R56">
        <v>2471</v>
      </c>
      <c r="S56">
        <v>2450</v>
      </c>
      <c r="T56">
        <v>2428</v>
      </c>
      <c r="U56">
        <v>2405</v>
      </c>
      <c r="V56">
        <v>2378</v>
      </c>
      <c r="W56">
        <v>2354</v>
      </c>
      <c r="X56">
        <v>2337</v>
      </c>
      <c r="Y56">
        <v>2320</v>
      </c>
      <c r="Z56">
        <v>2306</v>
      </c>
      <c r="AA56">
        <v>2285</v>
      </c>
      <c r="AB56">
        <v>2263</v>
      </c>
      <c r="AC56">
        <v>2238</v>
      </c>
      <c r="AD56">
        <v>2212</v>
      </c>
      <c r="AE56">
        <v>2199</v>
      </c>
      <c r="AF56">
        <v>2186</v>
      </c>
      <c r="AG56">
        <v>2172</v>
      </c>
      <c r="AH56">
        <v>2161</v>
      </c>
      <c r="AI56">
        <v>2155</v>
      </c>
      <c r="AJ56">
        <v>2150</v>
      </c>
      <c r="AK56">
        <v>2146</v>
      </c>
      <c r="AL56">
        <v>2143</v>
      </c>
      <c r="AM56">
        <v>2150</v>
      </c>
      <c r="AN56">
        <v>2164</v>
      </c>
      <c r="AO56">
        <v>2182</v>
      </c>
      <c r="AP56">
        <v>2201</v>
      </c>
      <c r="AQ56">
        <v>2222</v>
      </c>
      <c r="AR56">
        <v>2239</v>
      </c>
      <c r="AS56">
        <v>2254</v>
      </c>
      <c r="AT56">
        <v>2254</v>
      </c>
      <c r="AU56">
        <v>2219</v>
      </c>
      <c r="AV56">
        <v>2198</v>
      </c>
      <c r="AW56">
        <v>2182</v>
      </c>
      <c r="AX56">
        <v>2175</v>
      </c>
      <c r="AY56">
        <v>2170</v>
      </c>
      <c r="AZ56">
        <v>2183</v>
      </c>
      <c r="BA56">
        <v>2211</v>
      </c>
      <c r="BB56">
        <v>2234</v>
      </c>
      <c r="BC56">
        <v>2232</v>
      </c>
      <c r="BD56">
        <v>2202</v>
      </c>
      <c r="BE56">
        <v>2182</v>
      </c>
      <c r="BF56">
        <v>2164</v>
      </c>
      <c r="BG56">
        <v>2146</v>
      </c>
      <c r="BH56">
        <v>2128</v>
      </c>
      <c r="BI56">
        <v>2118</v>
      </c>
      <c r="BJ56">
        <v>2119</v>
      </c>
      <c r="BK56">
        <v>2118</v>
      </c>
      <c r="BL56">
        <v>2108</v>
      </c>
      <c r="BM56">
        <v>2096</v>
      </c>
      <c r="BN56">
        <v>2086</v>
      </c>
      <c r="BO56">
        <v>2076</v>
      </c>
      <c r="BP56">
        <v>2070</v>
      </c>
      <c r="BQ56">
        <v>2072</v>
      </c>
      <c r="BR56">
        <v>2080</v>
      </c>
      <c r="BS56">
        <v>2085</v>
      </c>
      <c r="BT56">
        <v>2080</v>
      </c>
      <c r="BU56">
        <v>2052</v>
      </c>
      <c r="BV56">
        <v>2057</v>
      </c>
      <c r="BW56">
        <v>2069</v>
      </c>
      <c r="BX56">
        <v>2075</v>
      </c>
      <c r="BY56">
        <v>2076</v>
      </c>
      <c r="BZ56">
        <v>0</v>
      </c>
      <c r="CA56">
        <v>0</v>
      </c>
    </row>
    <row r="57" spans="1:79" x14ac:dyDescent="0.5">
      <c r="A57">
        <v>2638</v>
      </c>
      <c r="B57">
        <v>2599</v>
      </c>
      <c r="C57">
        <v>2549</v>
      </c>
      <c r="D57">
        <v>2535</v>
      </c>
      <c r="E57">
        <v>2537</v>
      </c>
      <c r="F57">
        <v>2532</v>
      </c>
      <c r="G57">
        <v>2507</v>
      </c>
      <c r="H57">
        <v>2508</v>
      </c>
      <c r="I57">
        <v>2481</v>
      </c>
      <c r="J57">
        <v>2467</v>
      </c>
      <c r="K57">
        <v>2482</v>
      </c>
      <c r="L57">
        <v>2493</v>
      </c>
      <c r="M57">
        <v>2494</v>
      </c>
      <c r="N57">
        <v>2492</v>
      </c>
      <c r="O57">
        <v>2498</v>
      </c>
      <c r="P57">
        <v>2505</v>
      </c>
      <c r="Q57">
        <v>2506</v>
      </c>
      <c r="R57">
        <v>2491</v>
      </c>
      <c r="S57">
        <v>2474</v>
      </c>
      <c r="T57">
        <v>2450</v>
      </c>
      <c r="U57">
        <v>2423</v>
      </c>
      <c r="V57">
        <v>2401</v>
      </c>
      <c r="W57">
        <v>2369</v>
      </c>
      <c r="X57">
        <v>2350</v>
      </c>
      <c r="Y57">
        <v>2330</v>
      </c>
      <c r="Z57">
        <v>2313</v>
      </c>
      <c r="AA57">
        <v>2295</v>
      </c>
      <c r="AB57">
        <v>2273</v>
      </c>
      <c r="AC57">
        <v>2243</v>
      </c>
      <c r="AD57">
        <v>2221</v>
      </c>
      <c r="AE57">
        <v>2203</v>
      </c>
      <c r="AF57">
        <v>2187</v>
      </c>
      <c r="AG57">
        <v>2174</v>
      </c>
      <c r="AH57">
        <v>2163</v>
      </c>
      <c r="AI57">
        <v>2156</v>
      </c>
      <c r="AJ57">
        <v>2151</v>
      </c>
      <c r="AK57">
        <v>2147</v>
      </c>
      <c r="AL57">
        <v>2148</v>
      </c>
      <c r="AM57">
        <v>2155</v>
      </c>
      <c r="AN57">
        <v>2167</v>
      </c>
      <c r="AO57">
        <v>2182</v>
      </c>
      <c r="AP57">
        <v>2202</v>
      </c>
      <c r="AQ57">
        <v>2226</v>
      </c>
      <c r="AR57">
        <v>2241</v>
      </c>
      <c r="AS57">
        <v>2256</v>
      </c>
      <c r="AT57">
        <v>2263</v>
      </c>
      <c r="AU57">
        <v>2242</v>
      </c>
      <c r="AV57">
        <v>2214</v>
      </c>
      <c r="AW57">
        <v>2198</v>
      </c>
      <c r="AX57">
        <v>2189</v>
      </c>
      <c r="AY57">
        <v>2181</v>
      </c>
      <c r="AZ57">
        <v>2189</v>
      </c>
      <c r="BA57">
        <v>2211</v>
      </c>
      <c r="BB57">
        <v>2238</v>
      </c>
      <c r="BC57">
        <v>2245</v>
      </c>
      <c r="BD57">
        <v>2215</v>
      </c>
      <c r="BE57">
        <v>2195</v>
      </c>
      <c r="BF57">
        <v>2177</v>
      </c>
      <c r="BG57">
        <v>2161</v>
      </c>
      <c r="BH57">
        <v>2146</v>
      </c>
      <c r="BI57">
        <v>2132</v>
      </c>
      <c r="BJ57">
        <v>2137</v>
      </c>
      <c r="BK57">
        <v>2135</v>
      </c>
      <c r="BL57">
        <v>2122</v>
      </c>
      <c r="BM57">
        <v>2106</v>
      </c>
      <c r="BN57">
        <v>2096</v>
      </c>
      <c r="BO57">
        <v>2088</v>
      </c>
      <c r="BP57">
        <v>2080</v>
      </c>
      <c r="BQ57">
        <v>2081</v>
      </c>
      <c r="BR57">
        <v>2088</v>
      </c>
      <c r="BS57">
        <v>2095</v>
      </c>
      <c r="BT57">
        <v>2090</v>
      </c>
      <c r="BU57">
        <v>2063</v>
      </c>
      <c r="BV57">
        <v>2070</v>
      </c>
      <c r="BW57">
        <v>2075</v>
      </c>
      <c r="BX57">
        <v>2079</v>
      </c>
      <c r="BY57">
        <v>2081</v>
      </c>
      <c r="BZ57">
        <v>0</v>
      </c>
      <c r="CA57">
        <v>0</v>
      </c>
    </row>
    <row r="58" spans="1:79" x14ac:dyDescent="0.5">
      <c r="A58">
        <v>2641</v>
      </c>
      <c r="B58">
        <v>2597</v>
      </c>
      <c r="C58">
        <v>2553</v>
      </c>
      <c r="D58">
        <v>2535</v>
      </c>
      <c r="E58">
        <v>2530.1</v>
      </c>
      <c r="F58">
        <v>2530.0100000000002</v>
      </c>
      <c r="G58">
        <v>2530</v>
      </c>
      <c r="H58">
        <v>2526</v>
      </c>
      <c r="I58">
        <v>2492</v>
      </c>
      <c r="J58">
        <v>2494</v>
      </c>
      <c r="K58">
        <v>2504</v>
      </c>
      <c r="L58">
        <v>2513</v>
      </c>
      <c r="M58">
        <v>2514</v>
      </c>
      <c r="N58">
        <v>2505</v>
      </c>
      <c r="O58">
        <v>2510</v>
      </c>
      <c r="P58">
        <v>2516</v>
      </c>
      <c r="Q58">
        <v>2520</v>
      </c>
      <c r="R58">
        <v>2507</v>
      </c>
      <c r="S58">
        <v>2485</v>
      </c>
      <c r="T58">
        <v>2461</v>
      </c>
      <c r="U58">
        <v>2435</v>
      </c>
      <c r="V58">
        <v>2413</v>
      </c>
      <c r="W58">
        <v>2389</v>
      </c>
      <c r="X58">
        <v>2363</v>
      </c>
      <c r="Y58">
        <v>2343</v>
      </c>
      <c r="Z58">
        <v>2323</v>
      </c>
      <c r="AA58">
        <v>2305</v>
      </c>
      <c r="AB58">
        <v>2280</v>
      </c>
      <c r="AC58">
        <v>2252</v>
      </c>
      <c r="AD58">
        <v>2227</v>
      </c>
      <c r="AE58">
        <v>2210</v>
      </c>
      <c r="AF58">
        <v>2192</v>
      </c>
      <c r="AG58">
        <v>2178</v>
      </c>
      <c r="AH58">
        <v>2167</v>
      </c>
      <c r="AI58">
        <v>2158</v>
      </c>
      <c r="AJ58">
        <v>2153</v>
      </c>
      <c r="AK58">
        <v>2150</v>
      </c>
      <c r="AL58">
        <v>2150</v>
      </c>
      <c r="AM58">
        <v>2156</v>
      </c>
      <c r="AN58">
        <v>2165</v>
      </c>
      <c r="AO58">
        <v>2178</v>
      </c>
      <c r="AP58">
        <v>2197</v>
      </c>
      <c r="AQ58">
        <v>2216</v>
      </c>
      <c r="AR58">
        <v>2233</v>
      </c>
      <c r="AS58">
        <v>2254</v>
      </c>
      <c r="AT58">
        <v>2266</v>
      </c>
      <c r="AU58">
        <v>2271</v>
      </c>
      <c r="AV58">
        <v>2237</v>
      </c>
      <c r="AW58">
        <v>2218</v>
      </c>
      <c r="AX58">
        <v>2206</v>
      </c>
      <c r="AY58">
        <v>2198</v>
      </c>
      <c r="AZ58">
        <v>2198</v>
      </c>
      <c r="BA58">
        <v>2215</v>
      </c>
      <c r="BB58">
        <v>2242</v>
      </c>
      <c r="BC58">
        <v>2254</v>
      </c>
      <c r="BD58">
        <v>2230</v>
      </c>
      <c r="BE58">
        <v>2210</v>
      </c>
      <c r="BF58">
        <v>2193</v>
      </c>
      <c r="BG58">
        <v>2177</v>
      </c>
      <c r="BH58">
        <v>2160</v>
      </c>
      <c r="BI58">
        <v>2149</v>
      </c>
      <c r="BJ58">
        <v>2153</v>
      </c>
      <c r="BK58">
        <v>2150</v>
      </c>
      <c r="BL58">
        <v>2138</v>
      </c>
      <c r="BM58">
        <v>2122</v>
      </c>
      <c r="BN58">
        <v>2109</v>
      </c>
      <c r="BO58">
        <v>2099</v>
      </c>
      <c r="BP58">
        <v>2093</v>
      </c>
      <c r="BQ58">
        <v>2093</v>
      </c>
      <c r="BR58">
        <v>2098</v>
      </c>
      <c r="BS58">
        <v>2095</v>
      </c>
      <c r="BT58">
        <v>2087</v>
      </c>
      <c r="BU58">
        <v>2074</v>
      </c>
      <c r="BV58">
        <v>2081</v>
      </c>
      <c r="BW58">
        <v>2083</v>
      </c>
      <c r="BX58">
        <v>2084</v>
      </c>
      <c r="BY58">
        <v>2086</v>
      </c>
      <c r="BZ58">
        <v>0</v>
      </c>
      <c r="CA58">
        <v>0</v>
      </c>
    </row>
    <row r="59" spans="1:79" x14ac:dyDescent="0.5">
      <c r="A59">
        <v>2648</v>
      </c>
      <c r="B59">
        <v>2611</v>
      </c>
      <c r="C59">
        <v>2564</v>
      </c>
      <c r="D59">
        <v>2542</v>
      </c>
      <c r="E59">
        <v>2531</v>
      </c>
      <c r="F59">
        <v>2530.11</v>
      </c>
      <c r="G59">
        <v>2548</v>
      </c>
      <c r="H59">
        <v>2546</v>
      </c>
      <c r="I59">
        <v>2534</v>
      </c>
      <c r="J59">
        <v>2520</v>
      </c>
      <c r="K59">
        <v>2526</v>
      </c>
      <c r="L59">
        <v>2533</v>
      </c>
      <c r="M59">
        <v>2530</v>
      </c>
      <c r="N59">
        <v>2524</v>
      </c>
      <c r="O59">
        <v>2524</v>
      </c>
      <c r="P59">
        <v>2526</v>
      </c>
      <c r="Q59">
        <v>2534</v>
      </c>
      <c r="R59">
        <v>2519</v>
      </c>
      <c r="S59">
        <v>2496</v>
      </c>
      <c r="T59">
        <v>2472</v>
      </c>
      <c r="U59">
        <v>2442</v>
      </c>
      <c r="V59">
        <v>2422</v>
      </c>
      <c r="W59">
        <v>2400</v>
      </c>
      <c r="X59">
        <v>2373</v>
      </c>
      <c r="Y59">
        <v>2352</v>
      </c>
      <c r="Z59">
        <v>2333</v>
      </c>
      <c r="AA59">
        <v>2311</v>
      </c>
      <c r="AB59">
        <v>2285</v>
      </c>
      <c r="AC59">
        <v>2257</v>
      </c>
      <c r="AD59">
        <v>2235</v>
      </c>
      <c r="AE59">
        <v>2214</v>
      </c>
      <c r="AF59">
        <v>2198</v>
      </c>
      <c r="AG59">
        <v>2181</v>
      </c>
      <c r="AH59">
        <v>2170</v>
      </c>
      <c r="AI59">
        <v>2160</v>
      </c>
      <c r="AJ59">
        <v>2155</v>
      </c>
      <c r="AK59">
        <v>2151</v>
      </c>
      <c r="AL59">
        <v>2152</v>
      </c>
      <c r="AM59">
        <v>2158</v>
      </c>
      <c r="AN59">
        <v>2165</v>
      </c>
      <c r="AO59">
        <v>2178</v>
      </c>
      <c r="AP59">
        <v>2195</v>
      </c>
      <c r="AQ59">
        <v>2215</v>
      </c>
      <c r="AR59">
        <v>2233</v>
      </c>
      <c r="AS59">
        <v>2252</v>
      </c>
      <c r="AT59">
        <v>2270</v>
      </c>
      <c r="AU59">
        <v>2277</v>
      </c>
      <c r="AV59">
        <v>2263</v>
      </c>
      <c r="AW59">
        <v>2236</v>
      </c>
      <c r="AX59">
        <v>2224</v>
      </c>
      <c r="AY59">
        <v>2215</v>
      </c>
      <c r="AZ59">
        <v>2212</v>
      </c>
      <c r="BA59">
        <v>2219</v>
      </c>
      <c r="BB59">
        <v>2246</v>
      </c>
      <c r="BC59">
        <v>2260</v>
      </c>
      <c r="BD59">
        <v>2245</v>
      </c>
      <c r="BE59">
        <v>2225</v>
      </c>
      <c r="BF59">
        <v>2211</v>
      </c>
      <c r="BG59">
        <v>2196</v>
      </c>
      <c r="BH59">
        <v>2179</v>
      </c>
      <c r="BI59">
        <v>2166</v>
      </c>
      <c r="BJ59">
        <v>2170</v>
      </c>
      <c r="BK59">
        <v>2164</v>
      </c>
      <c r="BL59">
        <v>2152</v>
      </c>
      <c r="BM59">
        <v>2136</v>
      </c>
      <c r="BN59">
        <v>2119</v>
      </c>
      <c r="BO59">
        <v>2113</v>
      </c>
      <c r="BP59">
        <v>2105</v>
      </c>
      <c r="BQ59">
        <v>2107</v>
      </c>
      <c r="BR59">
        <v>2106</v>
      </c>
      <c r="BS59">
        <v>2096</v>
      </c>
      <c r="BT59">
        <v>2087</v>
      </c>
      <c r="BU59">
        <v>2085</v>
      </c>
      <c r="BV59">
        <v>2089</v>
      </c>
      <c r="BW59">
        <v>2088</v>
      </c>
      <c r="BX59">
        <v>2090</v>
      </c>
      <c r="BY59">
        <v>2096</v>
      </c>
      <c r="BZ59">
        <v>2103</v>
      </c>
      <c r="CA59">
        <v>0</v>
      </c>
    </row>
    <row r="60" spans="1:79" x14ac:dyDescent="0.5">
      <c r="A60">
        <v>0</v>
      </c>
      <c r="B60">
        <v>2632</v>
      </c>
      <c r="C60">
        <v>2600</v>
      </c>
      <c r="D60">
        <v>2575</v>
      </c>
      <c r="E60">
        <v>2565</v>
      </c>
      <c r="F60">
        <v>2550</v>
      </c>
      <c r="G60">
        <v>2575</v>
      </c>
      <c r="H60">
        <v>2578</v>
      </c>
      <c r="I60">
        <v>2573</v>
      </c>
      <c r="J60">
        <v>2560</v>
      </c>
      <c r="K60">
        <v>2560</v>
      </c>
      <c r="L60">
        <v>2553</v>
      </c>
      <c r="M60">
        <v>2541</v>
      </c>
      <c r="N60">
        <v>0</v>
      </c>
      <c r="O60">
        <v>0</v>
      </c>
      <c r="P60">
        <v>0</v>
      </c>
      <c r="Q60">
        <v>2543</v>
      </c>
      <c r="R60">
        <v>2529</v>
      </c>
      <c r="S60">
        <v>2506</v>
      </c>
      <c r="T60">
        <v>2479</v>
      </c>
      <c r="U60">
        <v>2453</v>
      </c>
      <c r="V60">
        <v>2428</v>
      </c>
      <c r="W60">
        <v>2404</v>
      </c>
      <c r="X60">
        <v>2388</v>
      </c>
      <c r="Y60">
        <v>2372</v>
      </c>
      <c r="Z60">
        <v>2346</v>
      </c>
      <c r="AA60">
        <v>2319</v>
      </c>
      <c r="AB60">
        <v>2290</v>
      </c>
      <c r="AC60">
        <v>2267</v>
      </c>
      <c r="AD60">
        <v>2242</v>
      </c>
      <c r="AE60">
        <v>2217</v>
      </c>
      <c r="AF60">
        <v>2203</v>
      </c>
      <c r="AG60">
        <v>2187</v>
      </c>
      <c r="AH60">
        <v>2173</v>
      </c>
      <c r="AI60">
        <v>2164</v>
      </c>
      <c r="AJ60">
        <v>2157</v>
      </c>
      <c r="AK60">
        <v>2153</v>
      </c>
      <c r="AL60">
        <v>2154</v>
      </c>
      <c r="AM60">
        <v>2158</v>
      </c>
      <c r="AN60">
        <v>2166</v>
      </c>
      <c r="AO60">
        <v>2177</v>
      </c>
      <c r="AP60">
        <v>2196</v>
      </c>
      <c r="AQ60">
        <v>2215</v>
      </c>
      <c r="AR60">
        <v>2232</v>
      </c>
      <c r="AS60">
        <v>2255</v>
      </c>
      <c r="AT60">
        <v>2278</v>
      </c>
      <c r="AU60">
        <v>2288</v>
      </c>
      <c r="AV60">
        <v>2280</v>
      </c>
      <c r="AW60">
        <v>2259</v>
      </c>
      <c r="AX60">
        <v>2238</v>
      </c>
      <c r="AY60">
        <v>2229</v>
      </c>
      <c r="AZ60">
        <v>2226</v>
      </c>
      <c r="BA60">
        <v>2225</v>
      </c>
      <c r="BB60">
        <v>2245</v>
      </c>
      <c r="BC60">
        <v>2262</v>
      </c>
      <c r="BD60">
        <v>2256</v>
      </c>
      <c r="BE60">
        <v>2241</v>
      </c>
      <c r="BF60">
        <v>2228</v>
      </c>
      <c r="BG60">
        <v>2211</v>
      </c>
      <c r="BH60">
        <v>2198</v>
      </c>
      <c r="BI60">
        <v>2188</v>
      </c>
      <c r="BJ60">
        <v>2194</v>
      </c>
      <c r="BK60">
        <v>2188</v>
      </c>
      <c r="BL60">
        <v>2170</v>
      </c>
      <c r="BM60">
        <v>2152</v>
      </c>
      <c r="BN60">
        <v>2135</v>
      </c>
      <c r="BO60">
        <v>2128</v>
      </c>
      <c r="BP60">
        <v>2122</v>
      </c>
      <c r="BQ60">
        <v>2120</v>
      </c>
      <c r="BR60">
        <v>2111</v>
      </c>
      <c r="BS60">
        <v>2098</v>
      </c>
      <c r="BT60">
        <v>2091</v>
      </c>
      <c r="BU60">
        <v>2093</v>
      </c>
      <c r="BV60">
        <v>2096</v>
      </c>
      <c r="BW60">
        <v>2095</v>
      </c>
      <c r="BX60">
        <v>2099</v>
      </c>
      <c r="BY60">
        <v>2107</v>
      </c>
      <c r="BZ60">
        <v>2112</v>
      </c>
      <c r="CA60">
        <v>2115</v>
      </c>
    </row>
    <row r="61" spans="1:79" x14ac:dyDescent="0.5">
      <c r="A61">
        <v>0</v>
      </c>
      <c r="B61">
        <v>0</v>
      </c>
      <c r="C61">
        <v>2629</v>
      </c>
      <c r="D61">
        <v>2621</v>
      </c>
      <c r="E61">
        <v>2602</v>
      </c>
      <c r="F61">
        <v>2599</v>
      </c>
      <c r="G61">
        <v>2598</v>
      </c>
      <c r="H61">
        <v>2594</v>
      </c>
      <c r="I61">
        <v>2603</v>
      </c>
      <c r="J61">
        <v>2605</v>
      </c>
      <c r="K61">
        <v>2588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2536</v>
      </c>
      <c r="S61">
        <v>2509</v>
      </c>
      <c r="T61">
        <v>2484</v>
      </c>
      <c r="U61">
        <v>2458</v>
      </c>
      <c r="V61">
        <v>2430</v>
      </c>
      <c r="W61">
        <v>2408</v>
      </c>
      <c r="X61">
        <v>2390</v>
      </c>
      <c r="Y61">
        <v>2382</v>
      </c>
      <c r="Z61">
        <v>2350</v>
      </c>
      <c r="AA61">
        <v>2323</v>
      </c>
      <c r="AB61">
        <v>2297</v>
      </c>
      <c r="AC61">
        <v>2273</v>
      </c>
      <c r="AD61">
        <v>2245</v>
      </c>
      <c r="AE61">
        <v>2225</v>
      </c>
      <c r="AF61">
        <v>2211</v>
      </c>
      <c r="AG61">
        <v>2190</v>
      </c>
      <c r="AH61">
        <v>2177</v>
      </c>
      <c r="AI61">
        <v>2168</v>
      </c>
      <c r="AJ61">
        <v>2159</v>
      </c>
      <c r="AK61">
        <v>2156</v>
      </c>
      <c r="AL61">
        <v>2155</v>
      </c>
      <c r="AM61">
        <v>2159</v>
      </c>
      <c r="AN61">
        <v>2166</v>
      </c>
      <c r="AO61">
        <v>2178</v>
      </c>
      <c r="AP61">
        <v>2194</v>
      </c>
      <c r="AQ61">
        <v>2214</v>
      </c>
      <c r="AR61">
        <v>2234</v>
      </c>
      <c r="AS61">
        <v>2256</v>
      </c>
      <c r="AT61">
        <v>2282</v>
      </c>
      <c r="AU61">
        <v>2303</v>
      </c>
      <c r="AV61">
        <v>2299</v>
      </c>
      <c r="AW61">
        <v>2276</v>
      </c>
      <c r="AX61">
        <v>2256</v>
      </c>
      <c r="AY61">
        <v>2241</v>
      </c>
      <c r="AZ61">
        <v>2235</v>
      </c>
      <c r="BA61">
        <v>2236</v>
      </c>
      <c r="BB61">
        <v>2244</v>
      </c>
      <c r="BC61">
        <v>2262</v>
      </c>
      <c r="BD61">
        <v>2266</v>
      </c>
      <c r="BE61">
        <v>2258</v>
      </c>
      <c r="BF61">
        <v>2245</v>
      </c>
      <c r="BG61">
        <v>2228</v>
      </c>
      <c r="BH61">
        <v>2215</v>
      </c>
      <c r="BI61">
        <v>2205</v>
      </c>
      <c r="BJ61">
        <v>2211</v>
      </c>
      <c r="BK61">
        <v>2211</v>
      </c>
      <c r="BL61">
        <v>2189</v>
      </c>
      <c r="BM61">
        <v>2170</v>
      </c>
      <c r="BN61">
        <v>2154</v>
      </c>
      <c r="BO61">
        <v>2142</v>
      </c>
      <c r="BP61">
        <v>2133</v>
      </c>
      <c r="BQ61">
        <v>2127</v>
      </c>
      <c r="BR61">
        <v>2112</v>
      </c>
      <c r="BS61">
        <v>2103</v>
      </c>
      <c r="BT61">
        <v>2097</v>
      </c>
      <c r="BU61">
        <v>2101</v>
      </c>
      <c r="BV61">
        <v>2103</v>
      </c>
      <c r="BW61">
        <v>2103</v>
      </c>
      <c r="BX61">
        <v>2110</v>
      </c>
      <c r="BY61">
        <v>2116</v>
      </c>
      <c r="BZ61">
        <v>2119</v>
      </c>
      <c r="CA61">
        <v>2122</v>
      </c>
    </row>
    <row r="62" spans="1:79" x14ac:dyDescent="0.5">
      <c r="A62">
        <v>0</v>
      </c>
      <c r="B62">
        <v>0</v>
      </c>
      <c r="C62">
        <v>0</v>
      </c>
      <c r="D62">
        <v>2626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2487</v>
      </c>
      <c r="U62">
        <v>2461</v>
      </c>
      <c r="V62">
        <v>2433</v>
      </c>
      <c r="W62">
        <v>2407</v>
      </c>
      <c r="X62">
        <v>2392</v>
      </c>
      <c r="Y62">
        <v>2377</v>
      </c>
      <c r="Z62">
        <v>2349</v>
      </c>
      <c r="AA62">
        <v>2328</v>
      </c>
      <c r="AB62">
        <v>2303</v>
      </c>
      <c r="AC62">
        <v>2276</v>
      </c>
      <c r="AD62">
        <v>2251</v>
      </c>
      <c r="AE62">
        <v>2230</v>
      </c>
      <c r="AF62">
        <v>2213</v>
      </c>
      <c r="AG62">
        <v>2195</v>
      </c>
      <c r="AH62">
        <v>2181</v>
      </c>
      <c r="AI62">
        <v>2171</v>
      </c>
      <c r="AJ62">
        <v>2163</v>
      </c>
      <c r="AK62">
        <v>2159</v>
      </c>
      <c r="AL62">
        <v>2157</v>
      </c>
      <c r="AM62">
        <v>2159</v>
      </c>
      <c r="AN62">
        <v>2167</v>
      </c>
      <c r="AO62">
        <v>2178</v>
      </c>
      <c r="AP62">
        <v>2193</v>
      </c>
      <c r="AQ62">
        <v>2214</v>
      </c>
      <c r="AR62">
        <v>2232</v>
      </c>
      <c r="AS62">
        <v>2253</v>
      </c>
      <c r="AT62">
        <v>2280</v>
      </c>
      <c r="AU62">
        <v>2306</v>
      </c>
      <c r="AV62">
        <v>2313</v>
      </c>
      <c r="AW62">
        <v>2301</v>
      </c>
      <c r="AX62">
        <v>2273</v>
      </c>
      <c r="AY62">
        <v>2257</v>
      </c>
      <c r="AZ62">
        <v>2247</v>
      </c>
      <c r="BA62">
        <v>2246</v>
      </c>
      <c r="BB62">
        <v>2248</v>
      </c>
      <c r="BC62">
        <v>2260</v>
      </c>
      <c r="BD62">
        <v>2274</v>
      </c>
      <c r="BE62">
        <v>2274</v>
      </c>
      <c r="BF62">
        <v>2263</v>
      </c>
      <c r="BG62">
        <v>2249</v>
      </c>
      <c r="BH62">
        <v>2235</v>
      </c>
      <c r="BI62">
        <v>2219</v>
      </c>
      <c r="BJ62">
        <v>2229</v>
      </c>
      <c r="BK62">
        <v>2226</v>
      </c>
      <c r="BL62">
        <v>2210</v>
      </c>
      <c r="BM62">
        <v>2189</v>
      </c>
      <c r="BN62">
        <v>2172</v>
      </c>
      <c r="BO62">
        <v>2158</v>
      </c>
      <c r="BP62">
        <v>2142</v>
      </c>
      <c r="BQ62">
        <v>2127</v>
      </c>
      <c r="BR62">
        <v>2116</v>
      </c>
      <c r="BS62">
        <v>2107</v>
      </c>
      <c r="BT62">
        <v>2106</v>
      </c>
      <c r="BU62">
        <v>2109</v>
      </c>
      <c r="BV62">
        <v>2108</v>
      </c>
      <c r="BW62">
        <v>2112</v>
      </c>
      <c r="BX62">
        <v>2117</v>
      </c>
      <c r="BY62">
        <v>2123</v>
      </c>
      <c r="BZ62">
        <v>2127</v>
      </c>
      <c r="CA62">
        <v>2130</v>
      </c>
    </row>
    <row r="63" spans="1:79" x14ac:dyDescent="0.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2489</v>
      </c>
      <c r="U63">
        <v>2464</v>
      </c>
      <c r="V63">
        <v>2429</v>
      </c>
      <c r="W63">
        <v>2407</v>
      </c>
      <c r="X63">
        <v>2391</v>
      </c>
      <c r="Y63">
        <v>2377</v>
      </c>
      <c r="Z63">
        <v>2352</v>
      </c>
      <c r="AA63">
        <v>2331</v>
      </c>
      <c r="AB63">
        <v>2307</v>
      </c>
      <c r="AC63">
        <v>2283</v>
      </c>
      <c r="AD63">
        <v>2253</v>
      </c>
      <c r="AE63">
        <v>2233</v>
      </c>
      <c r="AF63">
        <v>2218</v>
      </c>
      <c r="AG63">
        <v>2203</v>
      </c>
      <c r="AH63">
        <v>2184</v>
      </c>
      <c r="AI63">
        <v>2173</v>
      </c>
      <c r="AJ63">
        <v>2166</v>
      </c>
      <c r="AK63">
        <v>2162</v>
      </c>
      <c r="AL63">
        <v>2159</v>
      </c>
      <c r="AM63">
        <v>2162</v>
      </c>
      <c r="AN63">
        <v>2168</v>
      </c>
      <c r="AO63">
        <v>2177</v>
      </c>
      <c r="AP63">
        <v>2192</v>
      </c>
      <c r="AQ63">
        <v>2211</v>
      </c>
      <c r="AR63">
        <v>2229</v>
      </c>
      <c r="AS63">
        <v>2252</v>
      </c>
      <c r="AT63">
        <v>2272</v>
      </c>
      <c r="AU63">
        <v>2298</v>
      </c>
      <c r="AV63">
        <v>2321</v>
      </c>
      <c r="AW63">
        <v>2318</v>
      </c>
      <c r="AX63">
        <v>2298</v>
      </c>
      <c r="AY63">
        <v>2271</v>
      </c>
      <c r="AZ63">
        <v>2261</v>
      </c>
      <c r="BA63">
        <v>2256</v>
      </c>
      <c r="BB63">
        <v>2255</v>
      </c>
      <c r="BC63">
        <v>2265</v>
      </c>
      <c r="BD63">
        <v>2278</v>
      </c>
      <c r="BE63">
        <v>2289</v>
      </c>
      <c r="BF63">
        <v>2283</v>
      </c>
      <c r="BG63">
        <v>2272</v>
      </c>
      <c r="BH63">
        <v>2264</v>
      </c>
      <c r="BI63">
        <v>2252</v>
      </c>
      <c r="BJ63">
        <v>2250</v>
      </c>
      <c r="BK63">
        <v>2247</v>
      </c>
      <c r="BL63">
        <v>2229</v>
      </c>
      <c r="BM63">
        <v>2211</v>
      </c>
      <c r="BN63">
        <v>2187</v>
      </c>
      <c r="BO63">
        <v>2167</v>
      </c>
      <c r="BP63">
        <v>2151</v>
      </c>
      <c r="BQ63">
        <v>2135</v>
      </c>
      <c r="BR63">
        <v>2120</v>
      </c>
      <c r="BS63">
        <v>2112</v>
      </c>
      <c r="BT63">
        <v>2113</v>
      </c>
      <c r="BU63">
        <v>2114</v>
      </c>
      <c r="BV63">
        <v>2115</v>
      </c>
      <c r="BW63">
        <v>2118</v>
      </c>
      <c r="BX63">
        <v>2124</v>
      </c>
      <c r="BY63">
        <v>2129</v>
      </c>
      <c r="BZ63">
        <v>2134</v>
      </c>
      <c r="CA63">
        <v>2138</v>
      </c>
    </row>
    <row r="64" spans="1:79" x14ac:dyDescent="0.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2379</v>
      </c>
      <c r="Z64">
        <v>2359</v>
      </c>
      <c r="AA64">
        <v>2337</v>
      </c>
      <c r="AB64">
        <v>2314</v>
      </c>
      <c r="AC64">
        <v>2291</v>
      </c>
      <c r="AD64">
        <v>2259</v>
      </c>
      <c r="AE64">
        <v>2240</v>
      </c>
      <c r="AF64">
        <v>2221</v>
      </c>
      <c r="AG64">
        <v>2208</v>
      </c>
      <c r="AH64">
        <v>2193</v>
      </c>
      <c r="AI64">
        <v>2176</v>
      </c>
      <c r="AJ64">
        <v>2168</v>
      </c>
      <c r="AK64">
        <v>2164</v>
      </c>
      <c r="AL64">
        <v>2162</v>
      </c>
      <c r="AM64">
        <v>2163</v>
      </c>
      <c r="AN64">
        <v>2167</v>
      </c>
      <c r="AO64">
        <v>2177</v>
      </c>
      <c r="AP64">
        <v>2189</v>
      </c>
      <c r="AQ64">
        <v>2208</v>
      </c>
      <c r="AR64">
        <v>2226</v>
      </c>
      <c r="AS64">
        <v>2247</v>
      </c>
      <c r="AT64">
        <v>2270</v>
      </c>
      <c r="AU64">
        <v>2294</v>
      </c>
      <c r="AV64">
        <v>2316</v>
      </c>
      <c r="AW64">
        <v>2328</v>
      </c>
      <c r="AX64">
        <v>2320</v>
      </c>
      <c r="AY64">
        <v>2297</v>
      </c>
      <c r="AZ64">
        <v>2281</v>
      </c>
      <c r="BA64">
        <v>2276</v>
      </c>
      <c r="BB64">
        <v>2268</v>
      </c>
      <c r="BC64">
        <v>2270</v>
      </c>
      <c r="BD64">
        <v>2281</v>
      </c>
      <c r="BE64">
        <v>2294</v>
      </c>
      <c r="BF64">
        <v>2302</v>
      </c>
      <c r="BG64">
        <v>2298</v>
      </c>
      <c r="BH64">
        <v>2287</v>
      </c>
      <c r="BI64">
        <v>2278</v>
      </c>
      <c r="BJ64">
        <v>2274</v>
      </c>
      <c r="BK64">
        <v>2265</v>
      </c>
      <c r="BL64">
        <v>2251</v>
      </c>
      <c r="BM64">
        <v>2230</v>
      </c>
      <c r="BN64">
        <v>2201</v>
      </c>
      <c r="BO64">
        <v>2173</v>
      </c>
      <c r="BP64">
        <v>2155</v>
      </c>
      <c r="BQ64">
        <v>2139</v>
      </c>
      <c r="BR64">
        <v>2125</v>
      </c>
      <c r="BS64">
        <v>2119</v>
      </c>
      <c r="BT64">
        <v>2119</v>
      </c>
      <c r="BU64">
        <v>2120</v>
      </c>
      <c r="BV64">
        <v>2120</v>
      </c>
      <c r="BW64">
        <v>2123</v>
      </c>
      <c r="BX64">
        <v>2128</v>
      </c>
      <c r="BY64">
        <v>2135</v>
      </c>
      <c r="BZ64">
        <v>2142</v>
      </c>
      <c r="CA64">
        <v>2147</v>
      </c>
    </row>
    <row r="65" spans="1:79" x14ac:dyDescent="0.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2197</v>
      </c>
      <c r="AI65">
        <v>2184</v>
      </c>
      <c r="AJ65">
        <v>2171</v>
      </c>
      <c r="AK65">
        <v>2166</v>
      </c>
      <c r="AL65">
        <v>2164</v>
      </c>
      <c r="AM65">
        <v>2164</v>
      </c>
      <c r="AN65">
        <v>2168</v>
      </c>
      <c r="AO65">
        <v>2175</v>
      </c>
      <c r="AP65">
        <v>2188</v>
      </c>
      <c r="AQ65">
        <v>2203</v>
      </c>
      <c r="AR65">
        <v>2220</v>
      </c>
      <c r="AS65">
        <v>2242</v>
      </c>
      <c r="AT65">
        <v>0</v>
      </c>
      <c r="AU65">
        <v>0</v>
      </c>
      <c r="AV65">
        <v>0</v>
      </c>
      <c r="AW65">
        <v>0</v>
      </c>
      <c r="AX65">
        <v>2331</v>
      </c>
      <c r="AY65">
        <v>2320</v>
      </c>
      <c r="AZ65">
        <v>2310</v>
      </c>
      <c r="BA65">
        <v>2305</v>
      </c>
      <c r="BB65">
        <v>2289</v>
      </c>
      <c r="BC65">
        <v>2277</v>
      </c>
      <c r="BD65">
        <v>2282</v>
      </c>
      <c r="BE65">
        <v>2295</v>
      </c>
      <c r="BF65">
        <v>2310</v>
      </c>
      <c r="BG65">
        <v>2316</v>
      </c>
      <c r="BH65">
        <v>2308</v>
      </c>
      <c r="BI65">
        <v>2301</v>
      </c>
      <c r="BJ65">
        <v>2292</v>
      </c>
      <c r="BK65">
        <v>2278</v>
      </c>
      <c r="BL65">
        <v>2262</v>
      </c>
      <c r="BM65">
        <v>2240</v>
      </c>
      <c r="BN65">
        <v>2211</v>
      </c>
      <c r="BO65">
        <v>2181</v>
      </c>
      <c r="BP65">
        <v>2157</v>
      </c>
      <c r="BQ65">
        <v>2144</v>
      </c>
      <c r="BR65">
        <v>2131</v>
      </c>
      <c r="BS65">
        <v>2128</v>
      </c>
      <c r="BT65">
        <v>2126</v>
      </c>
      <c r="BU65">
        <v>2127</v>
      </c>
      <c r="BV65">
        <v>2127</v>
      </c>
      <c r="BW65">
        <v>2127</v>
      </c>
      <c r="BX65">
        <v>2133</v>
      </c>
      <c r="BY65">
        <v>2139</v>
      </c>
      <c r="BZ65">
        <v>2146</v>
      </c>
      <c r="CA65">
        <v>2151</v>
      </c>
    </row>
    <row r="66" spans="1:79" x14ac:dyDescent="0.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2176</v>
      </c>
      <c r="AK66">
        <v>2170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2328</v>
      </c>
      <c r="AZ66">
        <v>2325</v>
      </c>
      <c r="BA66">
        <v>2324</v>
      </c>
      <c r="BB66">
        <v>2307</v>
      </c>
      <c r="BC66">
        <v>2292</v>
      </c>
      <c r="BD66">
        <v>2288</v>
      </c>
      <c r="BE66">
        <v>2298</v>
      </c>
      <c r="BF66">
        <v>2315</v>
      </c>
      <c r="BG66">
        <v>2329</v>
      </c>
      <c r="BH66">
        <v>2326</v>
      </c>
      <c r="BI66">
        <v>2318</v>
      </c>
      <c r="BJ66">
        <v>2304</v>
      </c>
      <c r="BK66">
        <v>2289</v>
      </c>
      <c r="BL66">
        <v>2268</v>
      </c>
      <c r="BM66">
        <v>2246</v>
      </c>
      <c r="BN66">
        <v>2215</v>
      </c>
      <c r="BO66">
        <v>2184</v>
      </c>
      <c r="BP66">
        <v>2163</v>
      </c>
      <c r="BQ66">
        <v>2151</v>
      </c>
      <c r="BR66">
        <v>2143</v>
      </c>
      <c r="BS66">
        <v>2141</v>
      </c>
      <c r="BT66">
        <v>2136</v>
      </c>
      <c r="BU66">
        <v>2135</v>
      </c>
      <c r="BV66">
        <v>2132</v>
      </c>
      <c r="BW66">
        <v>2130</v>
      </c>
      <c r="BX66">
        <v>2134</v>
      </c>
      <c r="BY66">
        <v>2141</v>
      </c>
      <c r="BZ66">
        <v>2147</v>
      </c>
      <c r="CA66">
        <v>2155</v>
      </c>
    </row>
    <row r="67" spans="1:79" x14ac:dyDescent="0.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2332</v>
      </c>
      <c r="BB67">
        <v>2322</v>
      </c>
      <c r="BC67">
        <v>2304</v>
      </c>
      <c r="BD67">
        <v>2296</v>
      </c>
      <c r="BE67">
        <v>2301</v>
      </c>
      <c r="BF67">
        <v>2315</v>
      </c>
      <c r="BG67">
        <v>2334</v>
      </c>
      <c r="BH67">
        <v>2339</v>
      </c>
      <c r="BI67">
        <v>2330</v>
      </c>
      <c r="BJ67">
        <v>2317</v>
      </c>
      <c r="BK67">
        <v>2292</v>
      </c>
      <c r="BL67">
        <v>2272</v>
      </c>
      <c r="BM67">
        <v>2250</v>
      </c>
      <c r="BN67">
        <v>2220</v>
      </c>
      <c r="BO67">
        <v>2193</v>
      </c>
      <c r="BP67">
        <v>2168</v>
      </c>
      <c r="BQ67">
        <v>2159</v>
      </c>
      <c r="BR67">
        <v>2154</v>
      </c>
      <c r="BS67">
        <v>2146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2330</v>
      </c>
      <c r="BC68">
        <v>2314</v>
      </c>
      <c r="BD68">
        <v>2304</v>
      </c>
      <c r="BE68">
        <v>2301.1</v>
      </c>
      <c r="BF68">
        <v>2311</v>
      </c>
      <c r="BG68">
        <v>2327</v>
      </c>
      <c r="BH68">
        <v>2347</v>
      </c>
      <c r="BI68">
        <v>2336</v>
      </c>
      <c r="BJ68">
        <v>2322</v>
      </c>
      <c r="BK68">
        <v>2300</v>
      </c>
      <c r="BL68">
        <v>2278</v>
      </c>
      <c r="BM68">
        <v>2256</v>
      </c>
      <c r="BN68">
        <v>2226</v>
      </c>
      <c r="BO68">
        <v>2200</v>
      </c>
      <c r="BP68">
        <v>2179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2349</v>
      </c>
      <c r="BJ69">
        <v>2331</v>
      </c>
      <c r="BK69">
        <v>2310</v>
      </c>
      <c r="BL69">
        <v>2288</v>
      </c>
      <c r="BM69">
        <v>2265</v>
      </c>
      <c r="BN69">
        <v>2237</v>
      </c>
      <c r="BO69">
        <v>2212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2345</v>
      </c>
      <c r="BK70">
        <v>2324</v>
      </c>
      <c r="BL70">
        <v>2300</v>
      </c>
      <c r="BM70">
        <v>2278</v>
      </c>
      <c r="BN70">
        <v>2247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2339</v>
      </c>
      <c r="BL71">
        <v>2313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BJ46" workbookViewId="0">
      <selection activeCell="CF60" sqref="CF60"/>
    </sheetView>
  </sheetViews>
  <sheetFormatPr defaultRowHeight="14.35" x14ac:dyDescent="0.5"/>
  <sheetData>
    <row r="1" spans="1:79" x14ac:dyDescent="0.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2103</v>
      </c>
      <c r="BA1">
        <v>2093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2101</v>
      </c>
      <c r="BA2">
        <v>2087</v>
      </c>
      <c r="BB2">
        <v>2062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2094</v>
      </c>
      <c r="BA3">
        <v>2079</v>
      </c>
      <c r="BB3">
        <v>2052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2087</v>
      </c>
      <c r="BA4">
        <v>2068</v>
      </c>
      <c r="BB4">
        <v>2051</v>
      </c>
      <c r="BC4">
        <v>2050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2081</v>
      </c>
      <c r="BA5">
        <v>2061</v>
      </c>
      <c r="BB5">
        <v>2050</v>
      </c>
      <c r="BC5">
        <v>2048.1</v>
      </c>
      <c r="BD5">
        <v>2048</v>
      </c>
      <c r="BE5">
        <v>2046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2079</v>
      </c>
      <c r="BA6">
        <v>2062</v>
      </c>
      <c r="BB6">
        <v>2051</v>
      </c>
      <c r="BC6">
        <v>2049</v>
      </c>
      <c r="BD6">
        <v>2046</v>
      </c>
      <c r="BE6">
        <v>2044</v>
      </c>
      <c r="BF6">
        <v>2046</v>
      </c>
      <c r="BG6">
        <v>2050</v>
      </c>
      <c r="BH6">
        <v>0</v>
      </c>
      <c r="BI6">
        <v>0</v>
      </c>
      <c r="BJ6">
        <v>0</v>
      </c>
      <c r="BK6">
        <v>0</v>
      </c>
      <c r="BL6">
        <v>2052</v>
      </c>
      <c r="BM6">
        <v>2054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2081</v>
      </c>
      <c r="BA7">
        <v>2066</v>
      </c>
      <c r="BB7">
        <v>2062</v>
      </c>
      <c r="BC7">
        <v>2050</v>
      </c>
      <c r="BD7">
        <v>2043</v>
      </c>
      <c r="BE7">
        <v>2041</v>
      </c>
      <c r="BF7">
        <v>2044</v>
      </c>
      <c r="BG7">
        <v>2049</v>
      </c>
      <c r="BH7">
        <v>2052</v>
      </c>
      <c r="BI7">
        <v>2056</v>
      </c>
      <c r="BJ7">
        <v>2054</v>
      </c>
      <c r="BK7">
        <v>2051</v>
      </c>
      <c r="BL7">
        <v>2049</v>
      </c>
      <c r="BM7">
        <v>2052</v>
      </c>
      <c r="BN7">
        <v>2053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2088</v>
      </c>
      <c r="BA8">
        <v>2076</v>
      </c>
      <c r="BB8">
        <v>2066</v>
      </c>
      <c r="BC8">
        <v>2050</v>
      </c>
      <c r="BD8">
        <v>2039.1</v>
      </c>
      <c r="BE8">
        <v>2039</v>
      </c>
      <c r="BF8">
        <v>2041</v>
      </c>
      <c r="BG8">
        <v>2047</v>
      </c>
      <c r="BH8">
        <v>2053</v>
      </c>
      <c r="BI8">
        <v>2056</v>
      </c>
      <c r="BJ8">
        <v>2055</v>
      </c>
      <c r="BK8">
        <v>2052</v>
      </c>
      <c r="BL8">
        <v>2047</v>
      </c>
      <c r="BM8">
        <v>2046</v>
      </c>
      <c r="BN8">
        <v>2047</v>
      </c>
      <c r="BO8">
        <v>2047</v>
      </c>
      <c r="BP8">
        <v>2048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2090</v>
      </c>
      <c r="AZ9">
        <v>2082</v>
      </c>
      <c r="BA9">
        <v>2071</v>
      </c>
      <c r="BB9">
        <v>2062</v>
      </c>
      <c r="BC9">
        <v>2051</v>
      </c>
      <c r="BD9">
        <v>2040</v>
      </c>
      <c r="BE9">
        <v>2036.2</v>
      </c>
      <c r="BF9">
        <v>2038</v>
      </c>
      <c r="BG9">
        <v>2040</v>
      </c>
      <c r="BH9">
        <v>2049</v>
      </c>
      <c r="BI9">
        <v>2055</v>
      </c>
      <c r="BJ9">
        <v>2055</v>
      </c>
      <c r="BK9">
        <v>2052</v>
      </c>
      <c r="BL9">
        <v>2046</v>
      </c>
      <c r="BM9">
        <v>2040</v>
      </c>
      <c r="BN9">
        <v>2038</v>
      </c>
      <c r="BO9">
        <v>2041</v>
      </c>
      <c r="BP9">
        <v>2046</v>
      </c>
      <c r="BQ9">
        <v>2050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2081</v>
      </c>
      <c r="AY10">
        <v>2084</v>
      </c>
      <c r="AZ10">
        <v>2077</v>
      </c>
      <c r="BA10">
        <v>2070</v>
      </c>
      <c r="BB10">
        <v>2060</v>
      </c>
      <c r="BC10">
        <v>2047</v>
      </c>
      <c r="BD10">
        <v>2041</v>
      </c>
      <c r="BE10">
        <v>2036.1</v>
      </c>
      <c r="BF10">
        <v>2037</v>
      </c>
      <c r="BG10">
        <v>2038</v>
      </c>
      <c r="BH10">
        <v>2045</v>
      </c>
      <c r="BI10">
        <v>2050</v>
      </c>
      <c r="BJ10">
        <v>2051</v>
      </c>
      <c r="BK10">
        <v>2049</v>
      </c>
      <c r="BL10">
        <v>2046</v>
      </c>
      <c r="BM10">
        <v>2041</v>
      </c>
      <c r="BN10">
        <v>2029</v>
      </c>
      <c r="BO10">
        <v>2036</v>
      </c>
      <c r="BP10">
        <v>2045</v>
      </c>
      <c r="BQ10">
        <v>2052</v>
      </c>
      <c r="BR10">
        <v>2057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2080</v>
      </c>
      <c r="AX11">
        <v>2078</v>
      </c>
      <c r="AY11">
        <v>2076</v>
      </c>
      <c r="AZ11">
        <v>2073</v>
      </c>
      <c r="BA11">
        <v>2069</v>
      </c>
      <c r="BB11">
        <v>2060</v>
      </c>
      <c r="BC11">
        <v>2048</v>
      </c>
      <c r="BD11">
        <v>2041</v>
      </c>
      <c r="BE11">
        <v>2036</v>
      </c>
      <c r="BF11">
        <v>2035</v>
      </c>
      <c r="BG11">
        <v>2035</v>
      </c>
      <c r="BH11">
        <v>2038</v>
      </c>
      <c r="BI11">
        <v>2042</v>
      </c>
      <c r="BJ11">
        <v>2042</v>
      </c>
      <c r="BK11">
        <v>2043</v>
      </c>
      <c r="BL11">
        <v>2042</v>
      </c>
      <c r="BM11">
        <v>2037</v>
      </c>
      <c r="BN11">
        <v>2027</v>
      </c>
      <c r="BO11">
        <v>2034</v>
      </c>
      <c r="BP11">
        <v>2042</v>
      </c>
      <c r="BQ11">
        <v>2049</v>
      </c>
      <c r="BR11">
        <v>2055</v>
      </c>
      <c r="BS11">
        <v>2060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2117</v>
      </c>
      <c r="AQ12">
        <v>2111</v>
      </c>
      <c r="AR12">
        <v>0</v>
      </c>
      <c r="AS12">
        <v>0</v>
      </c>
      <c r="AT12">
        <v>0</v>
      </c>
      <c r="AU12">
        <v>0</v>
      </c>
      <c r="AV12">
        <v>2086</v>
      </c>
      <c r="AW12">
        <v>2082</v>
      </c>
      <c r="AX12">
        <v>2076</v>
      </c>
      <c r="AY12">
        <v>2073</v>
      </c>
      <c r="AZ12">
        <v>2067</v>
      </c>
      <c r="BA12">
        <v>2066</v>
      </c>
      <c r="BB12">
        <v>2065</v>
      </c>
      <c r="BC12">
        <v>2051</v>
      </c>
      <c r="BD12">
        <v>2042</v>
      </c>
      <c r="BE12">
        <v>2038</v>
      </c>
      <c r="BF12">
        <v>2033</v>
      </c>
      <c r="BG12">
        <v>2031</v>
      </c>
      <c r="BH12">
        <v>2032</v>
      </c>
      <c r="BI12">
        <v>2034</v>
      </c>
      <c r="BJ12">
        <v>2036</v>
      </c>
      <c r="BK12">
        <v>2037</v>
      </c>
      <c r="BL12">
        <v>2036</v>
      </c>
      <c r="BM12">
        <v>2031</v>
      </c>
      <c r="BN12">
        <v>2024</v>
      </c>
      <c r="BO12">
        <v>2027</v>
      </c>
      <c r="BP12">
        <v>2035</v>
      </c>
      <c r="BQ12">
        <v>2042</v>
      </c>
      <c r="BR12">
        <v>2053</v>
      </c>
      <c r="BS12">
        <v>2058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2118</v>
      </c>
      <c r="AN13">
        <v>2115</v>
      </c>
      <c r="AO13">
        <v>2114</v>
      </c>
      <c r="AP13">
        <v>2112</v>
      </c>
      <c r="AQ13">
        <v>2101</v>
      </c>
      <c r="AR13">
        <v>2097</v>
      </c>
      <c r="AS13">
        <v>2095</v>
      </c>
      <c r="AT13">
        <v>2094</v>
      </c>
      <c r="AU13">
        <v>2091</v>
      </c>
      <c r="AV13">
        <v>2087</v>
      </c>
      <c r="AW13">
        <v>2080</v>
      </c>
      <c r="AX13">
        <v>2074</v>
      </c>
      <c r="AY13">
        <v>2069</v>
      </c>
      <c r="AZ13">
        <v>2064</v>
      </c>
      <c r="BA13">
        <v>2061</v>
      </c>
      <c r="BB13">
        <v>2058</v>
      </c>
      <c r="BC13">
        <v>2052</v>
      </c>
      <c r="BD13">
        <v>2044</v>
      </c>
      <c r="BE13">
        <v>2038</v>
      </c>
      <c r="BF13">
        <v>2032</v>
      </c>
      <c r="BG13">
        <v>2028</v>
      </c>
      <c r="BH13">
        <v>2026</v>
      </c>
      <c r="BI13">
        <v>2027</v>
      </c>
      <c r="BJ13">
        <v>2028</v>
      </c>
      <c r="BK13">
        <v>2033</v>
      </c>
      <c r="BL13">
        <v>2031</v>
      </c>
      <c r="BM13">
        <v>2026</v>
      </c>
      <c r="BN13">
        <v>2018</v>
      </c>
      <c r="BO13">
        <v>2019</v>
      </c>
      <c r="BP13">
        <v>2026</v>
      </c>
      <c r="BQ13">
        <v>2038</v>
      </c>
      <c r="BR13">
        <v>2051</v>
      </c>
      <c r="BS13">
        <v>2053</v>
      </c>
      <c r="BT13">
        <v>2054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2118</v>
      </c>
      <c r="AN14">
        <v>2108</v>
      </c>
      <c r="AO14">
        <v>2102</v>
      </c>
      <c r="AP14">
        <v>2098</v>
      </c>
      <c r="AQ14">
        <v>2088</v>
      </c>
      <c r="AR14">
        <v>2087</v>
      </c>
      <c r="AS14">
        <v>2087</v>
      </c>
      <c r="AT14">
        <v>2091</v>
      </c>
      <c r="AU14">
        <v>2090</v>
      </c>
      <c r="AV14">
        <v>2085</v>
      </c>
      <c r="AW14">
        <v>2078</v>
      </c>
      <c r="AX14">
        <v>2072</v>
      </c>
      <c r="AY14">
        <v>2067</v>
      </c>
      <c r="AZ14">
        <v>2062</v>
      </c>
      <c r="BA14">
        <v>2058</v>
      </c>
      <c r="BB14">
        <v>2054</v>
      </c>
      <c r="BC14">
        <v>2050</v>
      </c>
      <c r="BD14">
        <v>2046</v>
      </c>
      <c r="BE14">
        <v>2040</v>
      </c>
      <c r="BF14">
        <v>2034</v>
      </c>
      <c r="BG14">
        <v>2028</v>
      </c>
      <c r="BH14">
        <v>2022</v>
      </c>
      <c r="BI14">
        <v>2022</v>
      </c>
      <c r="BJ14">
        <v>2024</v>
      </c>
      <c r="BK14">
        <v>2027</v>
      </c>
      <c r="BL14">
        <v>2027</v>
      </c>
      <c r="BM14">
        <v>2019</v>
      </c>
      <c r="BN14">
        <v>2011</v>
      </c>
      <c r="BO14">
        <v>2010</v>
      </c>
      <c r="BP14">
        <v>2017</v>
      </c>
      <c r="BQ14">
        <v>2028</v>
      </c>
      <c r="BR14">
        <v>2043</v>
      </c>
      <c r="BS14">
        <v>2046</v>
      </c>
      <c r="BT14">
        <v>2048</v>
      </c>
      <c r="BU14">
        <v>2048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2127</v>
      </c>
      <c r="AM15">
        <v>2116</v>
      </c>
      <c r="AN15">
        <v>2108</v>
      </c>
      <c r="AO15">
        <v>2100</v>
      </c>
      <c r="AP15">
        <v>2083</v>
      </c>
      <c r="AQ15">
        <v>2075</v>
      </c>
      <c r="AR15">
        <v>2073</v>
      </c>
      <c r="AS15">
        <v>2073</v>
      </c>
      <c r="AT15">
        <v>2080</v>
      </c>
      <c r="AU15">
        <v>2082</v>
      </c>
      <c r="AV15">
        <v>2081</v>
      </c>
      <c r="AW15">
        <v>2076</v>
      </c>
      <c r="AX15">
        <v>2070</v>
      </c>
      <c r="AY15">
        <v>2064</v>
      </c>
      <c r="AZ15">
        <v>2059</v>
      </c>
      <c r="BA15">
        <v>2054</v>
      </c>
      <c r="BB15">
        <v>2050</v>
      </c>
      <c r="BC15">
        <v>2046</v>
      </c>
      <c r="BD15">
        <v>2043</v>
      </c>
      <c r="BE15">
        <v>2041</v>
      </c>
      <c r="BF15">
        <v>2036</v>
      </c>
      <c r="BG15">
        <v>2030</v>
      </c>
      <c r="BH15">
        <v>2021</v>
      </c>
      <c r="BI15">
        <v>2017</v>
      </c>
      <c r="BJ15">
        <v>2020</v>
      </c>
      <c r="BK15">
        <v>2022</v>
      </c>
      <c r="BL15">
        <v>2020</v>
      </c>
      <c r="BM15">
        <v>2017</v>
      </c>
      <c r="BN15">
        <v>2008</v>
      </c>
      <c r="BO15">
        <v>2003</v>
      </c>
      <c r="BP15">
        <v>2008</v>
      </c>
      <c r="BQ15">
        <v>2015</v>
      </c>
      <c r="BR15">
        <v>2027</v>
      </c>
      <c r="BS15">
        <v>2035</v>
      </c>
      <c r="BT15">
        <v>2040</v>
      </c>
      <c r="BU15">
        <v>2044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2137</v>
      </c>
      <c r="AL16">
        <v>2125</v>
      </c>
      <c r="AM16">
        <v>2116</v>
      </c>
      <c r="AN16">
        <v>2105</v>
      </c>
      <c r="AO16">
        <v>2094</v>
      </c>
      <c r="AP16">
        <v>2085</v>
      </c>
      <c r="AQ16">
        <v>2080</v>
      </c>
      <c r="AR16">
        <v>2076</v>
      </c>
      <c r="AS16">
        <v>2065</v>
      </c>
      <c r="AT16">
        <v>2066</v>
      </c>
      <c r="AU16">
        <v>2067</v>
      </c>
      <c r="AV16">
        <v>2070</v>
      </c>
      <c r="AW16">
        <v>2069</v>
      </c>
      <c r="AX16">
        <v>2066</v>
      </c>
      <c r="AY16">
        <v>2062</v>
      </c>
      <c r="AZ16">
        <v>2055</v>
      </c>
      <c r="BA16">
        <v>2050</v>
      </c>
      <c r="BB16">
        <v>2045</v>
      </c>
      <c r="BC16">
        <v>2041</v>
      </c>
      <c r="BD16">
        <v>2039</v>
      </c>
      <c r="BE16">
        <v>2037</v>
      </c>
      <c r="BF16">
        <v>2035</v>
      </c>
      <c r="BG16">
        <v>2031</v>
      </c>
      <c r="BH16">
        <v>2027</v>
      </c>
      <c r="BI16">
        <v>2013.1</v>
      </c>
      <c r="BJ16">
        <v>2016</v>
      </c>
      <c r="BK16">
        <v>2019</v>
      </c>
      <c r="BL16">
        <v>2018</v>
      </c>
      <c r="BM16">
        <v>2016</v>
      </c>
      <c r="BN16">
        <v>2008</v>
      </c>
      <c r="BO16">
        <v>2000</v>
      </c>
      <c r="BP16">
        <v>2000</v>
      </c>
      <c r="BQ16">
        <v>2002</v>
      </c>
      <c r="BR16">
        <v>2014</v>
      </c>
      <c r="BS16">
        <v>2022</v>
      </c>
      <c r="BT16">
        <v>2032</v>
      </c>
      <c r="BU16">
        <v>2039</v>
      </c>
      <c r="BV16">
        <v>2040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x14ac:dyDescent="0.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2138</v>
      </c>
      <c r="AK17">
        <v>2132</v>
      </c>
      <c r="AL17">
        <v>2116</v>
      </c>
      <c r="AM17">
        <v>2109</v>
      </c>
      <c r="AN17">
        <v>2100</v>
      </c>
      <c r="AO17">
        <v>2088</v>
      </c>
      <c r="AP17">
        <v>2085</v>
      </c>
      <c r="AQ17">
        <v>2082</v>
      </c>
      <c r="AR17">
        <v>2078</v>
      </c>
      <c r="AS17">
        <v>2065</v>
      </c>
      <c r="AT17">
        <v>2054</v>
      </c>
      <c r="AU17">
        <v>2052</v>
      </c>
      <c r="AV17">
        <v>2052</v>
      </c>
      <c r="AW17">
        <v>2059</v>
      </c>
      <c r="AX17">
        <v>2059</v>
      </c>
      <c r="AY17">
        <v>2055</v>
      </c>
      <c r="AZ17">
        <v>2049</v>
      </c>
      <c r="BA17">
        <v>2043</v>
      </c>
      <c r="BB17">
        <v>2040</v>
      </c>
      <c r="BC17">
        <v>2038</v>
      </c>
      <c r="BD17">
        <v>2036</v>
      </c>
      <c r="BE17">
        <v>2035</v>
      </c>
      <c r="BF17">
        <v>2033</v>
      </c>
      <c r="BG17">
        <v>2030</v>
      </c>
      <c r="BH17">
        <v>2027</v>
      </c>
      <c r="BI17">
        <v>2013</v>
      </c>
      <c r="BJ17">
        <v>2012</v>
      </c>
      <c r="BK17">
        <v>2017</v>
      </c>
      <c r="BL17">
        <v>2015</v>
      </c>
      <c r="BM17">
        <v>2008</v>
      </c>
      <c r="BN17">
        <v>1997</v>
      </c>
      <c r="BO17">
        <v>1995</v>
      </c>
      <c r="BP17">
        <v>1992</v>
      </c>
      <c r="BQ17">
        <v>1993</v>
      </c>
      <c r="BR17">
        <v>1999</v>
      </c>
      <c r="BS17">
        <v>2007</v>
      </c>
      <c r="BT17">
        <v>2023</v>
      </c>
      <c r="BU17">
        <v>2031</v>
      </c>
      <c r="BV17">
        <v>2033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x14ac:dyDescent="0.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2144</v>
      </c>
      <c r="AJ18">
        <v>2137</v>
      </c>
      <c r="AK18">
        <v>2124</v>
      </c>
      <c r="AL18">
        <v>2112</v>
      </c>
      <c r="AM18">
        <v>2104</v>
      </c>
      <c r="AN18">
        <v>2097</v>
      </c>
      <c r="AO18">
        <v>2088</v>
      </c>
      <c r="AP18">
        <v>2085</v>
      </c>
      <c r="AQ18">
        <v>2080</v>
      </c>
      <c r="AR18">
        <v>2076</v>
      </c>
      <c r="AS18">
        <v>2063</v>
      </c>
      <c r="AT18">
        <v>2056</v>
      </c>
      <c r="AU18">
        <v>2047</v>
      </c>
      <c r="AV18">
        <v>2035</v>
      </c>
      <c r="AW18">
        <v>2045</v>
      </c>
      <c r="AX18">
        <v>2050</v>
      </c>
      <c r="AY18">
        <v>2047</v>
      </c>
      <c r="AZ18">
        <v>2041</v>
      </c>
      <c r="BA18">
        <v>2038</v>
      </c>
      <c r="BB18">
        <v>2034</v>
      </c>
      <c r="BC18">
        <v>2032</v>
      </c>
      <c r="BD18">
        <v>2032</v>
      </c>
      <c r="BE18">
        <v>2032</v>
      </c>
      <c r="BF18">
        <v>2031</v>
      </c>
      <c r="BG18">
        <v>2029</v>
      </c>
      <c r="BH18">
        <v>2023</v>
      </c>
      <c r="BI18">
        <v>2016</v>
      </c>
      <c r="BJ18">
        <v>2003</v>
      </c>
      <c r="BK18">
        <v>2008</v>
      </c>
      <c r="BL18">
        <v>2005</v>
      </c>
      <c r="BM18">
        <v>1997</v>
      </c>
      <c r="BN18">
        <v>1990</v>
      </c>
      <c r="BO18">
        <v>1990</v>
      </c>
      <c r="BP18">
        <v>1987.1</v>
      </c>
      <c r="BQ18">
        <v>1987.2</v>
      </c>
      <c r="BR18">
        <v>1987.2</v>
      </c>
      <c r="BS18">
        <v>1996</v>
      </c>
      <c r="BT18">
        <v>2011</v>
      </c>
      <c r="BU18">
        <v>2021</v>
      </c>
      <c r="BV18">
        <v>2026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x14ac:dyDescent="0.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2150</v>
      </c>
      <c r="AI19">
        <v>2140</v>
      </c>
      <c r="AJ19">
        <v>2140</v>
      </c>
      <c r="AK19">
        <v>2125</v>
      </c>
      <c r="AL19">
        <v>2114</v>
      </c>
      <c r="AM19">
        <v>2111</v>
      </c>
      <c r="AN19">
        <v>2102</v>
      </c>
      <c r="AO19">
        <v>2093</v>
      </c>
      <c r="AP19">
        <v>2087</v>
      </c>
      <c r="AQ19">
        <v>2081</v>
      </c>
      <c r="AR19">
        <v>2077</v>
      </c>
      <c r="AS19">
        <v>2069</v>
      </c>
      <c r="AT19">
        <v>2063</v>
      </c>
      <c r="AU19">
        <v>2047</v>
      </c>
      <c r="AV19">
        <v>2022</v>
      </c>
      <c r="AW19">
        <v>2029</v>
      </c>
      <c r="AX19">
        <v>2038</v>
      </c>
      <c r="AY19">
        <v>2039</v>
      </c>
      <c r="AZ19">
        <v>2033</v>
      </c>
      <c r="BA19">
        <v>2032</v>
      </c>
      <c r="BB19">
        <v>2029</v>
      </c>
      <c r="BC19">
        <v>2027</v>
      </c>
      <c r="BD19">
        <v>2028</v>
      </c>
      <c r="BE19">
        <v>2030</v>
      </c>
      <c r="BF19">
        <v>2030</v>
      </c>
      <c r="BG19">
        <v>2028</v>
      </c>
      <c r="BH19">
        <v>2019</v>
      </c>
      <c r="BI19">
        <v>2011</v>
      </c>
      <c r="BJ19">
        <v>2001</v>
      </c>
      <c r="BK19">
        <v>1993</v>
      </c>
      <c r="BL19">
        <v>1993</v>
      </c>
      <c r="BM19">
        <v>1990</v>
      </c>
      <c r="BN19">
        <v>1985</v>
      </c>
      <c r="BO19">
        <v>1987</v>
      </c>
      <c r="BP19">
        <v>1987</v>
      </c>
      <c r="BQ19">
        <v>1987.1</v>
      </c>
      <c r="BR19">
        <v>1987.2</v>
      </c>
      <c r="BS19">
        <v>1988</v>
      </c>
      <c r="BT19">
        <v>2000</v>
      </c>
      <c r="BU19">
        <v>2014</v>
      </c>
      <c r="BV19">
        <v>2026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x14ac:dyDescent="0.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2150</v>
      </c>
      <c r="AI20">
        <v>2157</v>
      </c>
      <c r="AJ20">
        <v>2158</v>
      </c>
      <c r="AK20">
        <v>2140</v>
      </c>
      <c r="AL20">
        <v>2129</v>
      </c>
      <c r="AM20">
        <v>2117</v>
      </c>
      <c r="AN20">
        <v>2109</v>
      </c>
      <c r="AO20">
        <v>2102</v>
      </c>
      <c r="AP20">
        <v>2089</v>
      </c>
      <c r="AQ20">
        <v>2079</v>
      </c>
      <c r="AR20">
        <v>2076</v>
      </c>
      <c r="AS20">
        <v>2068</v>
      </c>
      <c r="AT20">
        <v>2062</v>
      </c>
      <c r="AU20">
        <v>2043</v>
      </c>
      <c r="AV20">
        <v>2017</v>
      </c>
      <c r="AW20">
        <v>2019</v>
      </c>
      <c r="AX20">
        <v>2025</v>
      </c>
      <c r="AY20">
        <v>2029</v>
      </c>
      <c r="AZ20">
        <v>2025</v>
      </c>
      <c r="BA20">
        <v>2025</v>
      </c>
      <c r="BB20">
        <v>2023</v>
      </c>
      <c r="BC20">
        <v>2023</v>
      </c>
      <c r="BD20">
        <v>2024</v>
      </c>
      <c r="BE20">
        <v>2028</v>
      </c>
      <c r="BF20">
        <v>2027</v>
      </c>
      <c r="BG20">
        <v>2022</v>
      </c>
      <c r="BH20">
        <v>2014</v>
      </c>
      <c r="BI20">
        <v>2007</v>
      </c>
      <c r="BJ20">
        <v>1999</v>
      </c>
      <c r="BK20">
        <v>1990</v>
      </c>
      <c r="BL20">
        <v>1984</v>
      </c>
      <c r="BM20">
        <v>1985</v>
      </c>
      <c r="BN20">
        <v>1983</v>
      </c>
      <c r="BO20">
        <v>1986</v>
      </c>
      <c r="BP20">
        <v>1989</v>
      </c>
      <c r="BQ20">
        <v>1990</v>
      </c>
      <c r="BR20">
        <v>1992</v>
      </c>
      <c r="BS20">
        <v>1990</v>
      </c>
      <c r="BT20">
        <v>1997</v>
      </c>
      <c r="BU20">
        <v>2013</v>
      </c>
      <c r="BV20">
        <v>2040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x14ac:dyDescent="0.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2169.0100000000002</v>
      </c>
      <c r="AH21">
        <v>2169</v>
      </c>
      <c r="AI21">
        <v>2173</v>
      </c>
      <c r="AJ21">
        <v>2160</v>
      </c>
      <c r="AK21">
        <v>2140</v>
      </c>
      <c r="AL21">
        <v>2124</v>
      </c>
      <c r="AM21">
        <v>2109</v>
      </c>
      <c r="AN21">
        <v>2098</v>
      </c>
      <c r="AO21">
        <v>2088</v>
      </c>
      <c r="AP21">
        <v>2078</v>
      </c>
      <c r="AQ21">
        <v>2069</v>
      </c>
      <c r="AR21">
        <v>2061</v>
      </c>
      <c r="AS21">
        <v>2054</v>
      </c>
      <c r="AT21">
        <v>2046</v>
      </c>
      <c r="AU21">
        <v>2030</v>
      </c>
      <c r="AV21">
        <v>2007</v>
      </c>
      <c r="AW21">
        <v>2004</v>
      </c>
      <c r="AX21">
        <v>2011</v>
      </c>
      <c r="AY21">
        <v>2017</v>
      </c>
      <c r="AZ21">
        <v>2015</v>
      </c>
      <c r="BA21">
        <v>2015</v>
      </c>
      <c r="BB21">
        <v>2015</v>
      </c>
      <c r="BC21">
        <v>2018</v>
      </c>
      <c r="BD21">
        <v>2021</v>
      </c>
      <c r="BE21">
        <v>2025</v>
      </c>
      <c r="BF21">
        <v>2022</v>
      </c>
      <c r="BG21">
        <v>2015</v>
      </c>
      <c r="BH21">
        <v>2010</v>
      </c>
      <c r="BI21">
        <v>2005</v>
      </c>
      <c r="BJ21">
        <v>1997</v>
      </c>
      <c r="BK21">
        <v>1990</v>
      </c>
      <c r="BL21">
        <v>1981</v>
      </c>
      <c r="BM21">
        <v>1981</v>
      </c>
      <c r="BN21">
        <v>1982</v>
      </c>
      <c r="BO21">
        <v>1991</v>
      </c>
      <c r="BP21">
        <v>1995</v>
      </c>
      <c r="BQ21">
        <v>2003</v>
      </c>
      <c r="BR21">
        <v>2003</v>
      </c>
      <c r="BS21">
        <v>2000</v>
      </c>
      <c r="BT21">
        <v>2000</v>
      </c>
      <c r="BU21">
        <v>2012</v>
      </c>
      <c r="BV21">
        <v>2027</v>
      </c>
      <c r="BW21">
        <v>2037</v>
      </c>
      <c r="BX21">
        <v>0</v>
      </c>
      <c r="BY21">
        <v>0</v>
      </c>
      <c r="BZ21">
        <v>0</v>
      </c>
      <c r="CA21">
        <v>0</v>
      </c>
    </row>
    <row r="22" spans="1:79" x14ac:dyDescent="0.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2178</v>
      </c>
      <c r="AH22">
        <v>2175</v>
      </c>
      <c r="AI22">
        <v>2162</v>
      </c>
      <c r="AJ22">
        <v>2145</v>
      </c>
      <c r="AK22">
        <v>2129</v>
      </c>
      <c r="AL22">
        <v>2113</v>
      </c>
      <c r="AM22">
        <v>2101</v>
      </c>
      <c r="AN22">
        <v>2092</v>
      </c>
      <c r="AO22">
        <v>2081</v>
      </c>
      <c r="AP22">
        <v>2068</v>
      </c>
      <c r="AQ22">
        <v>2056</v>
      </c>
      <c r="AR22">
        <v>2044</v>
      </c>
      <c r="AS22">
        <v>2030</v>
      </c>
      <c r="AT22">
        <v>2022</v>
      </c>
      <c r="AU22">
        <v>2005</v>
      </c>
      <c r="AV22">
        <v>1995</v>
      </c>
      <c r="AW22">
        <v>1990</v>
      </c>
      <c r="AX22">
        <v>1998</v>
      </c>
      <c r="AY22">
        <v>2007</v>
      </c>
      <c r="AZ22">
        <v>2007</v>
      </c>
      <c r="BA22">
        <v>2006</v>
      </c>
      <c r="BB22">
        <v>2010</v>
      </c>
      <c r="BC22">
        <v>2015</v>
      </c>
      <c r="BD22">
        <v>2018</v>
      </c>
      <c r="BE22">
        <v>2021</v>
      </c>
      <c r="BF22">
        <v>2017</v>
      </c>
      <c r="BG22">
        <v>2011</v>
      </c>
      <c r="BH22">
        <v>2005</v>
      </c>
      <c r="BI22">
        <v>2001</v>
      </c>
      <c r="BJ22">
        <v>1996</v>
      </c>
      <c r="BK22">
        <v>1991</v>
      </c>
      <c r="BL22">
        <v>1981</v>
      </c>
      <c r="BM22">
        <v>1978</v>
      </c>
      <c r="BN22">
        <v>1981</v>
      </c>
      <c r="BO22">
        <v>1988</v>
      </c>
      <c r="BP22">
        <v>1995</v>
      </c>
      <c r="BQ22">
        <v>2000</v>
      </c>
      <c r="BR22">
        <v>2005</v>
      </c>
      <c r="BS22">
        <v>2010</v>
      </c>
      <c r="BT22">
        <v>2007</v>
      </c>
      <c r="BU22">
        <v>2007.1</v>
      </c>
      <c r="BV22">
        <v>2017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x14ac:dyDescent="0.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2187</v>
      </c>
      <c r="AG23">
        <v>2173</v>
      </c>
      <c r="AH23">
        <v>2160</v>
      </c>
      <c r="AI23">
        <v>2146</v>
      </c>
      <c r="AJ23">
        <v>2131</v>
      </c>
      <c r="AK23">
        <v>2115</v>
      </c>
      <c r="AL23">
        <v>2103</v>
      </c>
      <c r="AM23">
        <v>2090</v>
      </c>
      <c r="AN23">
        <v>2080</v>
      </c>
      <c r="AO23">
        <v>2074</v>
      </c>
      <c r="AP23">
        <v>2066</v>
      </c>
      <c r="AQ23">
        <v>2053</v>
      </c>
      <c r="AR23">
        <v>2041</v>
      </c>
      <c r="AS23">
        <v>2022</v>
      </c>
      <c r="AT23">
        <v>2003</v>
      </c>
      <c r="AU23">
        <v>1992</v>
      </c>
      <c r="AV23">
        <v>1985</v>
      </c>
      <c r="AW23">
        <v>1979</v>
      </c>
      <c r="AX23">
        <v>1990</v>
      </c>
      <c r="AY23">
        <v>1997</v>
      </c>
      <c r="AZ23">
        <v>1997</v>
      </c>
      <c r="BA23">
        <v>1999</v>
      </c>
      <c r="BB23">
        <v>2004</v>
      </c>
      <c r="BC23">
        <v>2012</v>
      </c>
      <c r="BD23">
        <v>2015</v>
      </c>
      <c r="BE23">
        <v>2019</v>
      </c>
      <c r="BF23">
        <v>2018</v>
      </c>
      <c r="BG23">
        <v>2009</v>
      </c>
      <c r="BH23">
        <v>2001</v>
      </c>
      <c r="BI23">
        <v>1999</v>
      </c>
      <c r="BJ23">
        <v>1995</v>
      </c>
      <c r="BK23">
        <v>1991</v>
      </c>
      <c r="BL23">
        <v>1980</v>
      </c>
      <c r="BM23">
        <v>1975</v>
      </c>
      <c r="BN23">
        <v>1977</v>
      </c>
      <c r="BO23">
        <v>1983</v>
      </c>
      <c r="BP23">
        <v>1992</v>
      </c>
      <c r="BQ23">
        <v>2000</v>
      </c>
      <c r="BR23">
        <v>2007</v>
      </c>
      <c r="BS23">
        <v>2016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x14ac:dyDescent="0.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2183</v>
      </c>
      <c r="AD24">
        <v>2188</v>
      </c>
      <c r="AE24">
        <v>2181</v>
      </c>
      <c r="AF24">
        <v>2170</v>
      </c>
      <c r="AG24">
        <v>2156</v>
      </c>
      <c r="AH24">
        <v>2142</v>
      </c>
      <c r="AI24">
        <v>2129</v>
      </c>
      <c r="AJ24">
        <v>2112</v>
      </c>
      <c r="AK24">
        <v>2099</v>
      </c>
      <c r="AL24">
        <v>2086</v>
      </c>
      <c r="AM24">
        <v>2075</v>
      </c>
      <c r="AN24">
        <v>2066</v>
      </c>
      <c r="AO24">
        <v>2059</v>
      </c>
      <c r="AP24">
        <v>2049</v>
      </c>
      <c r="AQ24">
        <v>2041</v>
      </c>
      <c r="AR24">
        <v>2035</v>
      </c>
      <c r="AS24">
        <v>2023</v>
      </c>
      <c r="AT24">
        <v>2005</v>
      </c>
      <c r="AU24">
        <v>1989</v>
      </c>
      <c r="AV24">
        <v>1977</v>
      </c>
      <c r="AW24">
        <v>1970</v>
      </c>
      <c r="AX24">
        <v>1980</v>
      </c>
      <c r="AY24">
        <v>1984</v>
      </c>
      <c r="AZ24">
        <v>1984</v>
      </c>
      <c r="BA24">
        <v>1989</v>
      </c>
      <c r="BB24">
        <v>2003</v>
      </c>
      <c r="BC24">
        <v>2007</v>
      </c>
      <c r="BD24">
        <v>2011</v>
      </c>
      <c r="BE24">
        <v>2015</v>
      </c>
      <c r="BF24">
        <v>2016</v>
      </c>
      <c r="BG24">
        <v>2007</v>
      </c>
      <c r="BH24">
        <v>2001</v>
      </c>
      <c r="BI24">
        <v>1996</v>
      </c>
      <c r="BJ24">
        <v>1995</v>
      </c>
      <c r="BK24">
        <v>1992</v>
      </c>
      <c r="BL24">
        <v>1978</v>
      </c>
      <c r="BM24">
        <v>1975</v>
      </c>
      <c r="BN24">
        <v>1975</v>
      </c>
      <c r="BO24">
        <v>1977</v>
      </c>
      <c r="BP24">
        <v>1986</v>
      </c>
      <c r="BQ24">
        <v>1997</v>
      </c>
      <c r="BR24">
        <v>2007</v>
      </c>
      <c r="BS24">
        <v>2017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x14ac:dyDescent="0.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2195</v>
      </c>
      <c r="AC25">
        <v>2170</v>
      </c>
      <c r="AD25">
        <v>2159</v>
      </c>
      <c r="AE25">
        <v>2159</v>
      </c>
      <c r="AF25">
        <v>2148</v>
      </c>
      <c r="AG25">
        <v>2137</v>
      </c>
      <c r="AH25">
        <v>2126</v>
      </c>
      <c r="AI25">
        <v>2111</v>
      </c>
      <c r="AJ25">
        <v>2098</v>
      </c>
      <c r="AK25">
        <v>2085</v>
      </c>
      <c r="AL25">
        <v>2069</v>
      </c>
      <c r="AM25">
        <v>2056</v>
      </c>
      <c r="AN25">
        <v>2049</v>
      </c>
      <c r="AO25">
        <v>2043</v>
      </c>
      <c r="AP25">
        <v>2036</v>
      </c>
      <c r="AQ25">
        <v>2027</v>
      </c>
      <c r="AR25">
        <v>2022</v>
      </c>
      <c r="AS25">
        <v>2017</v>
      </c>
      <c r="AT25">
        <v>2007</v>
      </c>
      <c r="AU25">
        <v>1988</v>
      </c>
      <c r="AV25">
        <v>1975</v>
      </c>
      <c r="AW25">
        <v>1965</v>
      </c>
      <c r="AX25">
        <v>1968</v>
      </c>
      <c r="AY25">
        <v>1972</v>
      </c>
      <c r="AZ25">
        <v>1973</v>
      </c>
      <c r="BA25">
        <v>1979</v>
      </c>
      <c r="BB25">
        <v>1994</v>
      </c>
      <c r="BC25">
        <v>2001</v>
      </c>
      <c r="BD25">
        <v>2004</v>
      </c>
      <c r="BE25">
        <v>2008</v>
      </c>
      <c r="BF25">
        <v>2011</v>
      </c>
      <c r="BG25">
        <v>2005</v>
      </c>
      <c r="BH25">
        <v>1995</v>
      </c>
      <c r="BI25">
        <v>1992</v>
      </c>
      <c r="BJ25">
        <v>1992</v>
      </c>
      <c r="BK25">
        <v>1992</v>
      </c>
      <c r="BL25">
        <v>1987</v>
      </c>
      <c r="BM25">
        <v>1979</v>
      </c>
      <c r="BN25">
        <v>1979</v>
      </c>
      <c r="BO25">
        <v>1975</v>
      </c>
      <c r="BP25">
        <v>1978</v>
      </c>
      <c r="BQ25">
        <v>1989</v>
      </c>
      <c r="BR25">
        <v>1998</v>
      </c>
      <c r="BS25">
        <v>2009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x14ac:dyDescent="0.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2204</v>
      </c>
      <c r="AA26">
        <v>2189</v>
      </c>
      <c r="AB26">
        <v>2167</v>
      </c>
      <c r="AC26">
        <v>2142</v>
      </c>
      <c r="AD26">
        <v>2133</v>
      </c>
      <c r="AE26">
        <v>2132</v>
      </c>
      <c r="AF26">
        <v>2126</v>
      </c>
      <c r="AG26">
        <v>2117</v>
      </c>
      <c r="AH26">
        <v>2107</v>
      </c>
      <c r="AI26">
        <v>2094</v>
      </c>
      <c r="AJ26">
        <v>2081</v>
      </c>
      <c r="AK26">
        <v>2065</v>
      </c>
      <c r="AL26">
        <v>2049</v>
      </c>
      <c r="AM26">
        <v>2038</v>
      </c>
      <c r="AN26">
        <v>2033</v>
      </c>
      <c r="AO26">
        <v>2028</v>
      </c>
      <c r="AP26">
        <v>2018</v>
      </c>
      <c r="AQ26">
        <v>2013</v>
      </c>
      <c r="AR26">
        <v>2009</v>
      </c>
      <c r="AS26">
        <v>2007</v>
      </c>
      <c r="AT26">
        <v>2002</v>
      </c>
      <c r="AU26">
        <v>1991</v>
      </c>
      <c r="AV26">
        <v>1972</v>
      </c>
      <c r="AW26">
        <v>1963</v>
      </c>
      <c r="AX26">
        <v>1956</v>
      </c>
      <c r="AY26">
        <v>1957</v>
      </c>
      <c r="AZ26">
        <v>1962</v>
      </c>
      <c r="BA26">
        <v>1970</v>
      </c>
      <c r="BB26">
        <v>1983</v>
      </c>
      <c r="BC26">
        <v>1994</v>
      </c>
      <c r="BD26">
        <v>1998</v>
      </c>
      <c r="BE26">
        <v>2001</v>
      </c>
      <c r="BF26">
        <v>2004</v>
      </c>
      <c r="BG26">
        <v>2000</v>
      </c>
      <c r="BH26">
        <v>1991</v>
      </c>
      <c r="BI26">
        <v>1987</v>
      </c>
      <c r="BJ26">
        <v>1989</v>
      </c>
      <c r="BK26">
        <v>1988</v>
      </c>
      <c r="BL26">
        <v>1988</v>
      </c>
      <c r="BM26">
        <v>1987</v>
      </c>
      <c r="BN26">
        <v>1980</v>
      </c>
      <c r="BO26">
        <v>1979</v>
      </c>
      <c r="BP26">
        <v>1972</v>
      </c>
      <c r="BQ26">
        <v>1979</v>
      </c>
      <c r="BR26">
        <v>1988</v>
      </c>
      <c r="BS26">
        <v>1995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2203</v>
      </c>
      <c r="Z27">
        <v>2182</v>
      </c>
      <c r="AA27">
        <v>2165</v>
      </c>
      <c r="AB27">
        <v>2147</v>
      </c>
      <c r="AC27">
        <v>2123</v>
      </c>
      <c r="AD27">
        <v>2105</v>
      </c>
      <c r="AE27">
        <v>2109</v>
      </c>
      <c r="AF27">
        <v>2106</v>
      </c>
      <c r="AG27">
        <v>2100</v>
      </c>
      <c r="AH27">
        <v>2089</v>
      </c>
      <c r="AI27">
        <v>2077</v>
      </c>
      <c r="AJ27">
        <v>2060</v>
      </c>
      <c r="AK27">
        <v>2042</v>
      </c>
      <c r="AL27">
        <v>2031</v>
      </c>
      <c r="AM27">
        <v>2025</v>
      </c>
      <c r="AN27">
        <v>2018</v>
      </c>
      <c r="AO27">
        <v>2010</v>
      </c>
      <c r="AP27">
        <v>2004</v>
      </c>
      <c r="AQ27">
        <v>1998</v>
      </c>
      <c r="AR27">
        <v>1998</v>
      </c>
      <c r="AS27">
        <v>1997</v>
      </c>
      <c r="AT27">
        <v>1996</v>
      </c>
      <c r="AU27">
        <v>1988</v>
      </c>
      <c r="AV27">
        <v>1976</v>
      </c>
      <c r="AW27">
        <v>1967</v>
      </c>
      <c r="AX27">
        <v>1956</v>
      </c>
      <c r="AY27">
        <v>1949</v>
      </c>
      <c r="AZ27">
        <v>1953</v>
      </c>
      <c r="BA27">
        <v>1961</v>
      </c>
      <c r="BB27">
        <v>1973</v>
      </c>
      <c r="BC27">
        <v>1988</v>
      </c>
      <c r="BD27">
        <v>1992</v>
      </c>
      <c r="BE27">
        <v>1994</v>
      </c>
      <c r="BF27">
        <v>1995</v>
      </c>
      <c r="BG27">
        <v>1991</v>
      </c>
      <c r="BH27">
        <v>1986</v>
      </c>
      <c r="BI27">
        <v>1982</v>
      </c>
      <c r="BJ27">
        <v>1982</v>
      </c>
      <c r="BK27">
        <v>1983</v>
      </c>
      <c r="BL27">
        <v>1987</v>
      </c>
      <c r="BM27">
        <v>1987</v>
      </c>
      <c r="BN27">
        <v>1984</v>
      </c>
      <c r="BO27">
        <v>1982</v>
      </c>
      <c r="BP27">
        <v>1971</v>
      </c>
      <c r="BQ27">
        <v>1973</v>
      </c>
      <c r="BR27">
        <v>1978</v>
      </c>
      <c r="BS27">
        <v>1982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2203</v>
      </c>
      <c r="Y28">
        <v>2180</v>
      </c>
      <c r="Z28">
        <v>2159</v>
      </c>
      <c r="AA28">
        <v>2143</v>
      </c>
      <c r="AB28">
        <v>2128</v>
      </c>
      <c r="AC28">
        <v>2109</v>
      </c>
      <c r="AD28">
        <v>2096</v>
      </c>
      <c r="AE28">
        <v>2093</v>
      </c>
      <c r="AF28">
        <v>2092</v>
      </c>
      <c r="AG28">
        <v>2084</v>
      </c>
      <c r="AH28">
        <v>2072</v>
      </c>
      <c r="AI28">
        <v>2059</v>
      </c>
      <c r="AJ28">
        <v>2043</v>
      </c>
      <c r="AK28">
        <v>2027</v>
      </c>
      <c r="AL28">
        <v>2018</v>
      </c>
      <c r="AM28">
        <v>2010</v>
      </c>
      <c r="AN28">
        <v>2002</v>
      </c>
      <c r="AO28">
        <v>1994</v>
      </c>
      <c r="AP28">
        <v>1990</v>
      </c>
      <c r="AQ28">
        <v>1986</v>
      </c>
      <c r="AR28">
        <v>1987</v>
      </c>
      <c r="AS28">
        <v>1988</v>
      </c>
      <c r="AT28">
        <v>1988</v>
      </c>
      <c r="AU28">
        <v>1984</v>
      </c>
      <c r="AV28">
        <v>1978</v>
      </c>
      <c r="AW28">
        <v>1969</v>
      </c>
      <c r="AX28">
        <v>1958</v>
      </c>
      <c r="AY28">
        <v>1944</v>
      </c>
      <c r="AZ28">
        <v>1947</v>
      </c>
      <c r="BA28">
        <v>1953</v>
      </c>
      <c r="BB28">
        <v>1966</v>
      </c>
      <c r="BC28">
        <v>1977</v>
      </c>
      <c r="BD28">
        <v>1982</v>
      </c>
      <c r="BE28">
        <v>1986</v>
      </c>
      <c r="BF28">
        <v>1986</v>
      </c>
      <c r="BG28">
        <v>1983</v>
      </c>
      <c r="BH28">
        <v>1981</v>
      </c>
      <c r="BI28">
        <v>1976</v>
      </c>
      <c r="BJ28">
        <v>1976</v>
      </c>
      <c r="BK28">
        <v>1976</v>
      </c>
      <c r="BL28">
        <v>1983</v>
      </c>
      <c r="BM28">
        <v>1987</v>
      </c>
      <c r="BN28">
        <v>1987</v>
      </c>
      <c r="BO28">
        <v>1985</v>
      </c>
      <c r="BP28">
        <v>1969</v>
      </c>
      <c r="BQ28">
        <v>1966</v>
      </c>
      <c r="BR28">
        <v>1972</v>
      </c>
      <c r="BS28">
        <v>1975</v>
      </c>
      <c r="BT28">
        <v>1975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x14ac:dyDescent="0.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2207</v>
      </c>
      <c r="W29">
        <v>2199</v>
      </c>
      <c r="X29">
        <v>2180</v>
      </c>
      <c r="Y29">
        <v>2155</v>
      </c>
      <c r="Z29">
        <v>2137</v>
      </c>
      <c r="AA29">
        <v>2124</v>
      </c>
      <c r="AB29">
        <v>2111</v>
      </c>
      <c r="AC29">
        <v>2100</v>
      </c>
      <c r="AD29">
        <v>2089</v>
      </c>
      <c r="AE29">
        <v>2081</v>
      </c>
      <c r="AF29">
        <v>2077</v>
      </c>
      <c r="AG29">
        <v>2068</v>
      </c>
      <c r="AH29">
        <v>2057</v>
      </c>
      <c r="AI29">
        <v>2045</v>
      </c>
      <c r="AJ29">
        <v>2029</v>
      </c>
      <c r="AK29">
        <v>2016</v>
      </c>
      <c r="AL29">
        <v>2006</v>
      </c>
      <c r="AM29">
        <v>1997</v>
      </c>
      <c r="AN29">
        <v>1990</v>
      </c>
      <c r="AO29">
        <v>1983</v>
      </c>
      <c r="AP29">
        <v>1977</v>
      </c>
      <c r="AQ29">
        <v>1975</v>
      </c>
      <c r="AR29">
        <v>1978</v>
      </c>
      <c r="AS29">
        <v>1981</v>
      </c>
      <c r="AT29">
        <v>1979</v>
      </c>
      <c r="AU29">
        <v>1980</v>
      </c>
      <c r="AV29">
        <v>1975</v>
      </c>
      <c r="AW29">
        <v>1969</v>
      </c>
      <c r="AX29">
        <v>1958</v>
      </c>
      <c r="AY29">
        <v>1946</v>
      </c>
      <c r="AZ29">
        <v>1939</v>
      </c>
      <c r="BA29">
        <v>1947</v>
      </c>
      <c r="BB29">
        <v>1959</v>
      </c>
      <c r="BC29">
        <v>1968</v>
      </c>
      <c r="BD29">
        <v>1971</v>
      </c>
      <c r="BE29">
        <v>1976</v>
      </c>
      <c r="BF29">
        <v>1975</v>
      </c>
      <c r="BG29">
        <v>1976</v>
      </c>
      <c r="BH29">
        <v>1976</v>
      </c>
      <c r="BI29">
        <v>1969</v>
      </c>
      <c r="BJ29">
        <v>1969</v>
      </c>
      <c r="BK29">
        <v>1970</v>
      </c>
      <c r="BL29">
        <v>1979</v>
      </c>
      <c r="BM29">
        <v>1987</v>
      </c>
      <c r="BN29">
        <v>1986</v>
      </c>
      <c r="BO29">
        <v>1982</v>
      </c>
      <c r="BP29">
        <v>1972</v>
      </c>
      <c r="BQ29">
        <v>1959</v>
      </c>
      <c r="BR29">
        <v>1967</v>
      </c>
      <c r="BS29">
        <v>1970</v>
      </c>
      <c r="BT29">
        <v>1970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x14ac:dyDescent="0.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2242</v>
      </c>
      <c r="U30">
        <v>2213</v>
      </c>
      <c r="V30">
        <v>2193</v>
      </c>
      <c r="W30">
        <v>2175</v>
      </c>
      <c r="X30">
        <v>2153</v>
      </c>
      <c r="Y30">
        <v>2132</v>
      </c>
      <c r="Z30">
        <v>2118</v>
      </c>
      <c r="AA30">
        <v>2107</v>
      </c>
      <c r="AB30">
        <v>2098</v>
      </c>
      <c r="AC30">
        <v>2088</v>
      </c>
      <c r="AD30">
        <v>2080</v>
      </c>
      <c r="AE30">
        <v>2076</v>
      </c>
      <c r="AF30">
        <v>2065</v>
      </c>
      <c r="AG30">
        <v>2055</v>
      </c>
      <c r="AH30">
        <v>2047</v>
      </c>
      <c r="AI30">
        <v>2035</v>
      </c>
      <c r="AJ30">
        <v>2021</v>
      </c>
      <c r="AK30">
        <v>2006</v>
      </c>
      <c r="AL30">
        <v>1994</v>
      </c>
      <c r="AM30">
        <v>1987</v>
      </c>
      <c r="AN30">
        <v>1975</v>
      </c>
      <c r="AO30">
        <v>1970</v>
      </c>
      <c r="AP30">
        <v>1965</v>
      </c>
      <c r="AQ30">
        <v>1965</v>
      </c>
      <c r="AR30">
        <v>1960</v>
      </c>
      <c r="AS30">
        <v>1981</v>
      </c>
      <c r="AT30">
        <v>1977</v>
      </c>
      <c r="AU30">
        <v>1973</v>
      </c>
      <c r="AV30">
        <v>1969</v>
      </c>
      <c r="AW30">
        <v>1964</v>
      </c>
      <c r="AX30">
        <v>1957</v>
      </c>
      <c r="AY30">
        <v>1944</v>
      </c>
      <c r="AZ30">
        <v>1934</v>
      </c>
      <c r="BA30">
        <v>1942</v>
      </c>
      <c r="BB30">
        <v>1956</v>
      </c>
      <c r="BC30">
        <v>1959</v>
      </c>
      <c r="BD30">
        <v>1960</v>
      </c>
      <c r="BE30">
        <v>1964</v>
      </c>
      <c r="BF30">
        <v>1964</v>
      </c>
      <c r="BG30">
        <v>1969</v>
      </c>
      <c r="BH30">
        <v>1970</v>
      </c>
      <c r="BI30">
        <v>1964</v>
      </c>
      <c r="BJ30">
        <v>1962</v>
      </c>
      <c r="BK30">
        <v>1965</v>
      </c>
      <c r="BL30">
        <v>1974</v>
      </c>
      <c r="BM30">
        <v>1983</v>
      </c>
      <c r="BN30">
        <v>1980</v>
      </c>
      <c r="BO30">
        <v>1975</v>
      </c>
      <c r="BP30">
        <v>1971</v>
      </c>
      <c r="BQ30">
        <v>1953</v>
      </c>
      <c r="BR30">
        <v>1957</v>
      </c>
      <c r="BS30">
        <v>1966</v>
      </c>
      <c r="BT30">
        <v>1966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x14ac:dyDescent="0.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2248</v>
      </c>
      <c r="T31">
        <v>2227</v>
      </c>
      <c r="U31">
        <v>2201</v>
      </c>
      <c r="V31">
        <v>2173</v>
      </c>
      <c r="W31">
        <v>2149</v>
      </c>
      <c r="X31">
        <v>2132</v>
      </c>
      <c r="Y31">
        <v>2115</v>
      </c>
      <c r="Z31">
        <v>2104</v>
      </c>
      <c r="AA31">
        <v>2096</v>
      </c>
      <c r="AB31">
        <v>2086</v>
      </c>
      <c r="AC31">
        <v>2077</v>
      </c>
      <c r="AD31">
        <v>2070</v>
      </c>
      <c r="AE31">
        <v>2065</v>
      </c>
      <c r="AF31">
        <v>2058</v>
      </c>
      <c r="AG31">
        <v>2044</v>
      </c>
      <c r="AH31">
        <v>2038</v>
      </c>
      <c r="AI31">
        <v>2030</v>
      </c>
      <c r="AJ31">
        <v>2015</v>
      </c>
      <c r="AK31">
        <v>1998</v>
      </c>
      <c r="AL31">
        <v>1987</v>
      </c>
      <c r="AM31">
        <v>1975</v>
      </c>
      <c r="AN31">
        <v>1963</v>
      </c>
      <c r="AO31">
        <v>1961</v>
      </c>
      <c r="AP31">
        <v>1955</v>
      </c>
      <c r="AQ31">
        <v>1955</v>
      </c>
      <c r="AR31">
        <v>1954</v>
      </c>
      <c r="AS31">
        <v>1981</v>
      </c>
      <c r="AT31">
        <v>1975</v>
      </c>
      <c r="AU31">
        <v>1964</v>
      </c>
      <c r="AV31">
        <v>1964</v>
      </c>
      <c r="AW31">
        <v>1959</v>
      </c>
      <c r="AX31">
        <v>1953</v>
      </c>
      <c r="AY31">
        <v>1940</v>
      </c>
      <c r="AZ31">
        <v>1929</v>
      </c>
      <c r="BA31">
        <v>1937</v>
      </c>
      <c r="BB31">
        <v>1949</v>
      </c>
      <c r="BC31">
        <v>1950</v>
      </c>
      <c r="BD31">
        <v>1950</v>
      </c>
      <c r="BE31">
        <v>1952</v>
      </c>
      <c r="BF31">
        <v>1956</v>
      </c>
      <c r="BG31">
        <v>1963</v>
      </c>
      <c r="BH31">
        <v>1963</v>
      </c>
      <c r="BI31">
        <v>1957</v>
      </c>
      <c r="BJ31">
        <v>1953</v>
      </c>
      <c r="BK31">
        <v>1960</v>
      </c>
      <c r="BL31">
        <v>1969</v>
      </c>
      <c r="BM31">
        <v>1976</v>
      </c>
      <c r="BN31">
        <v>1974</v>
      </c>
      <c r="BO31">
        <v>1968</v>
      </c>
      <c r="BP31">
        <v>1966</v>
      </c>
      <c r="BQ31">
        <v>1955</v>
      </c>
      <c r="BR31">
        <v>1941</v>
      </c>
      <c r="BS31">
        <v>1952</v>
      </c>
      <c r="BT31">
        <v>1959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x14ac:dyDescent="0.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2266</v>
      </c>
      <c r="R32">
        <v>2248</v>
      </c>
      <c r="S32">
        <v>2227</v>
      </c>
      <c r="T32">
        <v>2212</v>
      </c>
      <c r="U32">
        <v>2187</v>
      </c>
      <c r="V32">
        <v>2159</v>
      </c>
      <c r="W32">
        <v>2133</v>
      </c>
      <c r="X32">
        <v>2110</v>
      </c>
      <c r="Y32">
        <v>2100</v>
      </c>
      <c r="Z32">
        <v>2092</v>
      </c>
      <c r="AA32">
        <v>2084</v>
      </c>
      <c r="AB32">
        <v>2076</v>
      </c>
      <c r="AC32">
        <v>2068</v>
      </c>
      <c r="AD32">
        <v>2061</v>
      </c>
      <c r="AE32">
        <v>2055</v>
      </c>
      <c r="AF32">
        <v>2050</v>
      </c>
      <c r="AG32">
        <v>2039</v>
      </c>
      <c r="AH32">
        <v>2032</v>
      </c>
      <c r="AI32">
        <v>2024</v>
      </c>
      <c r="AJ32">
        <v>2011</v>
      </c>
      <c r="AK32">
        <v>1995</v>
      </c>
      <c r="AL32">
        <v>1975</v>
      </c>
      <c r="AM32">
        <v>1963</v>
      </c>
      <c r="AN32">
        <v>1960</v>
      </c>
      <c r="AO32">
        <v>1956</v>
      </c>
      <c r="AP32">
        <v>1952</v>
      </c>
      <c r="AQ32">
        <v>1950</v>
      </c>
      <c r="AR32">
        <v>1952</v>
      </c>
      <c r="AS32">
        <v>1981</v>
      </c>
      <c r="AT32">
        <v>1965</v>
      </c>
      <c r="AU32">
        <v>1957</v>
      </c>
      <c r="AV32">
        <v>1957</v>
      </c>
      <c r="AW32">
        <v>1956</v>
      </c>
      <c r="AX32">
        <v>1950</v>
      </c>
      <c r="AY32">
        <v>1937</v>
      </c>
      <c r="AZ32">
        <v>1927</v>
      </c>
      <c r="BA32">
        <v>1927</v>
      </c>
      <c r="BB32">
        <v>1933</v>
      </c>
      <c r="BC32">
        <v>1936</v>
      </c>
      <c r="BD32">
        <v>1939</v>
      </c>
      <c r="BE32">
        <v>1941</v>
      </c>
      <c r="BF32">
        <v>1948</v>
      </c>
      <c r="BG32">
        <v>1953</v>
      </c>
      <c r="BH32">
        <v>1953</v>
      </c>
      <c r="BI32">
        <v>1947</v>
      </c>
      <c r="BJ32">
        <v>1943</v>
      </c>
      <c r="BK32">
        <v>1953</v>
      </c>
      <c r="BL32">
        <v>1961</v>
      </c>
      <c r="BM32">
        <v>1969</v>
      </c>
      <c r="BN32">
        <v>1968</v>
      </c>
      <c r="BO32">
        <v>1962</v>
      </c>
      <c r="BP32">
        <v>1960</v>
      </c>
      <c r="BQ32">
        <v>1950</v>
      </c>
      <c r="BR32">
        <v>1935</v>
      </c>
      <c r="BS32">
        <v>1945</v>
      </c>
      <c r="BT32">
        <v>1955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x14ac:dyDescent="0.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2293</v>
      </c>
      <c r="Q33">
        <v>2256</v>
      </c>
      <c r="R33">
        <v>2231</v>
      </c>
      <c r="S33">
        <v>2214</v>
      </c>
      <c r="T33">
        <v>2200</v>
      </c>
      <c r="U33">
        <v>2178</v>
      </c>
      <c r="V33">
        <v>2152</v>
      </c>
      <c r="W33">
        <v>2122</v>
      </c>
      <c r="X33">
        <v>2098</v>
      </c>
      <c r="Y33">
        <v>2089</v>
      </c>
      <c r="Z33">
        <v>2083</v>
      </c>
      <c r="AA33">
        <v>2074</v>
      </c>
      <c r="AB33">
        <v>2066</v>
      </c>
      <c r="AC33">
        <v>2060</v>
      </c>
      <c r="AD33">
        <v>2053</v>
      </c>
      <c r="AE33">
        <v>2047</v>
      </c>
      <c r="AF33">
        <v>2043</v>
      </c>
      <c r="AG33">
        <v>2038</v>
      </c>
      <c r="AH33">
        <v>2030</v>
      </c>
      <c r="AI33">
        <v>2016</v>
      </c>
      <c r="AJ33">
        <v>2003</v>
      </c>
      <c r="AK33">
        <v>1990</v>
      </c>
      <c r="AL33">
        <v>1972</v>
      </c>
      <c r="AM33">
        <v>1962</v>
      </c>
      <c r="AN33">
        <v>1963</v>
      </c>
      <c r="AO33">
        <v>1958</v>
      </c>
      <c r="AP33">
        <v>1954</v>
      </c>
      <c r="AQ33">
        <v>1954</v>
      </c>
      <c r="AR33">
        <v>1949</v>
      </c>
      <c r="AS33">
        <v>1975</v>
      </c>
      <c r="AT33">
        <v>1960</v>
      </c>
      <c r="AU33">
        <v>1947</v>
      </c>
      <c r="AV33">
        <v>1949</v>
      </c>
      <c r="AW33">
        <v>1950</v>
      </c>
      <c r="AX33">
        <v>1945</v>
      </c>
      <c r="AY33">
        <v>1937</v>
      </c>
      <c r="AZ33">
        <v>1927</v>
      </c>
      <c r="BA33">
        <v>1921</v>
      </c>
      <c r="BB33">
        <v>1921</v>
      </c>
      <c r="BC33">
        <v>1924</v>
      </c>
      <c r="BD33">
        <v>1925</v>
      </c>
      <c r="BE33">
        <v>1929</v>
      </c>
      <c r="BF33">
        <v>1935</v>
      </c>
      <c r="BG33">
        <v>1938</v>
      </c>
      <c r="BH33">
        <v>1937</v>
      </c>
      <c r="BI33">
        <v>1934</v>
      </c>
      <c r="BJ33">
        <v>1935</v>
      </c>
      <c r="BK33">
        <v>1943</v>
      </c>
      <c r="BL33">
        <v>1952</v>
      </c>
      <c r="BM33">
        <v>1958</v>
      </c>
      <c r="BN33">
        <v>1957</v>
      </c>
      <c r="BO33">
        <v>1956</v>
      </c>
      <c r="BP33">
        <v>1955</v>
      </c>
      <c r="BQ33">
        <v>1940</v>
      </c>
      <c r="BR33">
        <v>1933</v>
      </c>
      <c r="BS33">
        <v>1945</v>
      </c>
      <c r="BT33">
        <v>1952</v>
      </c>
      <c r="BU33">
        <v>1953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x14ac:dyDescent="0.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2311</v>
      </c>
      <c r="P34">
        <v>2282</v>
      </c>
      <c r="Q34">
        <v>2247</v>
      </c>
      <c r="R34">
        <v>2221</v>
      </c>
      <c r="S34">
        <v>2207</v>
      </c>
      <c r="T34">
        <v>2195</v>
      </c>
      <c r="U34">
        <v>2173</v>
      </c>
      <c r="V34">
        <v>2147</v>
      </c>
      <c r="W34">
        <v>2122</v>
      </c>
      <c r="X34">
        <v>2099</v>
      </c>
      <c r="Y34">
        <v>2081</v>
      </c>
      <c r="Z34">
        <v>2073</v>
      </c>
      <c r="AA34">
        <v>2063</v>
      </c>
      <c r="AB34">
        <v>2058</v>
      </c>
      <c r="AC34">
        <v>2052</v>
      </c>
      <c r="AD34">
        <v>2046</v>
      </c>
      <c r="AE34">
        <v>2041</v>
      </c>
      <c r="AF34">
        <v>2037</v>
      </c>
      <c r="AG34">
        <v>2029</v>
      </c>
      <c r="AH34">
        <v>2022</v>
      </c>
      <c r="AI34">
        <v>2013</v>
      </c>
      <c r="AJ34">
        <v>1994</v>
      </c>
      <c r="AK34">
        <v>1984</v>
      </c>
      <c r="AL34">
        <v>1970</v>
      </c>
      <c r="AM34">
        <v>1976</v>
      </c>
      <c r="AN34">
        <v>1975</v>
      </c>
      <c r="AO34">
        <v>1973</v>
      </c>
      <c r="AP34">
        <v>1955</v>
      </c>
      <c r="AQ34">
        <v>1955</v>
      </c>
      <c r="AR34">
        <v>1952</v>
      </c>
      <c r="AS34">
        <v>1981</v>
      </c>
      <c r="AT34">
        <v>1941</v>
      </c>
      <c r="AU34">
        <v>1937</v>
      </c>
      <c r="AV34">
        <v>1931</v>
      </c>
      <c r="AW34">
        <v>1938</v>
      </c>
      <c r="AX34">
        <v>1937</v>
      </c>
      <c r="AY34">
        <v>1933</v>
      </c>
      <c r="AZ34">
        <v>1928</v>
      </c>
      <c r="BA34">
        <v>1921</v>
      </c>
      <c r="BB34">
        <v>1917</v>
      </c>
      <c r="BC34">
        <v>1915</v>
      </c>
      <c r="BD34">
        <v>1914</v>
      </c>
      <c r="BE34">
        <v>1916</v>
      </c>
      <c r="BF34">
        <v>1919</v>
      </c>
      <c r="BG34">
        <v>1922</v>
      </c>
      <c r="BH34">
        <v>1924</v>
      </c>
      <c r="BI34">
        <v>1919</v>
      </c>
      <c r="BJ34">
        <v>1927</v>
      </c>
      <c r="BK34">
        <v>1933</v>
      </c>
      <c r="BL34">
        <v>1941</v>
      </c>
      <c r="BM34">
        <v>1944</v>
      </c>
      <c r="BN34">
        <v>1941</v>
      </c>
      <c r="BO34">
        <v>1936</v>
      </c>
      <c r="BP34">
        <v>1936</v>
      </c>
      <c r="BQ34">
        <v>1916</v>
      </c>
      <c r="BR34">
        <v>1925</v>
      </c>
      <c r="BS34">
        <v>1935</v>
      </c>
      <c r="BT34">
        <v>1944</v>
      </c>
      <c r="BU34">
        <v>1946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x14ac:dyDescent="0.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2309</v>
      </c>
      <c r="O35">
        <v>2293</v>
      </c>
      <c r="P35">
        <v>2276</v>
      </c>
      <c r="Q35">
        <v>2248</v>
      </c>
      <c r="R35">
        <v>2211</v>
      </c>
      <c r="S35">
        <v>2200</v>
      </c>
      <c r="T35">
        <v>2188</v>
      </c>
      <c r="U35">
        <v>2164</v>
      </c>
      <c r="V35">
        <v>2144</v>
      </c>
      <c r="W35">
        <v>2123</v>
      </c>
      <c r="X35">
        <v>2102</v>
      </c>
      <c r="Y35">
        <v>2083</v>
      </c>
      <c r="Z35">
        <v>2071</v>
      </c>
      <c r="AA35">
        <v>2062</v>
      </c>
      <c r="AB35">
        <v>2054</v>
      </c>
      <c r="AC35">
        <v>2045</v>
      </c>
      <c r="AD35">
        <v>2040</v>
      </c>
      <c r="AE35">
        <v>2034</v>
      </c>
      <c r="AF35">
        <v>2029</v>
      </c>
      <c r="AG35">
        <v>2021</v>
      </c>
      <c r="AH35">
        <v>2011</v>
      </c>
      <c r="AI35">
        <v>1997</v>
      </c>
      <c r="AJ35">
        <v>1992</v>
      </c>
      <c r="AK35">
        <v>1984</v>
      </c>
      <c r="AL35">
        <v>1984</v>
      </c>
      <c r="AM35">
        <v>1996</v>
      </c>
      <c r="AN35">
        <v>2004</v>
      </c>
      <c r="AO35">
        <v>2004</v>
      </c>
      <c r="AP35">
        <v>1995</v>
      </c>
      <c r="AQ35">
        <v>1960</v>
      </c>
      <c r="AR35">
        <v>1956</v>
      </c>
      <c r="AS35">
        <v>1981</v>
      </c>
      <c r="AT35">
        <v>1944</v>
      </c>
      <c r="AU35">
        <v>1944</v>
      </c>
      <c r="AV35">
        <v>1936</v>
      </c>
      <c r="AW35">
        <v>1924</v>
      </c>
      <c r="AX35">
        <v>1920</v>
      </c>
      <c r="AY35">
        <v>1919</v>
      </c>
      <c r="AZ35">
        <v>1918</v>
      </c>
      <c r="BA35">
        <v>1919</v>
      </c>
      <c r="BB35">
        <v>1920</v>
      </c>
      <c r="BC35">
        <v>1912</v>
      </c>
      <c r="BD35">
        <v>1909</v>
      </c>
      <c r="BE35">
        <v>1910</v>
      </c>
      <c r="BF35">
        <v>1909</v>
      </c>
      <c r="BG35">
        <v>1910</v>
      </c>
      <c r="BH35">
        <v>1910</v>
      </c>
      <c r="BI35">
        <v>1911</v>
      </c>
      <c r="BJ35">
        <v>1919</v>
      </c>
      <c r="BK35">
        <v>1927</v>
      </c>
      <c r="BL35">
        <v>1929</v>
      </c>
      <c r="BM35">
        <v>1930</v>
      </c>
      <c r="BN35">
        <v>1931</v>
      </c>
      <c r="BO35">
        <v>1922</v>
      </c>
      <c r="BP35">
        <v>1916</v>
      </c>
      <c r="BQ35">
        <v>1903</v>
      </c>
      <c r="BR35">
        <v>1910</v>
      </c>
      <c r="BS35">
        <v>1921</v>
      </c>
      <c r="BT35">
        <v>1933</v>
      </c>
      <c r="BU35">
        <v>1944</v>
      </c>
      <c r="BV35">
        <v>1945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2292</v>
      </c>
      <c r="O36">
        <v>2280</v>
      </c>
      <c r="P36">
        <v>2268</v>
      </c>
      <c r="Q36">
        <v>2242</v>
      </c>
      <c r="R36">
        <v>2210</v>
      </c>
      <c r="S36">
        <v>2189</v>
      </c>
      <c r="T36">
        <v>2175</v>
      </c>
      <c r="U36">
        <v>2159</v>
      </c>
      <c r="V36">
        <v>2139</v>
      </c>
      <c r="W36">
        <v>2122</v>
      </c>
      <c r="X36">
        <v>2104</v>
      </c>
      <c r="Y36">
        <v>2090</v>
      </c>
      <c r="Z36">
        <v>2077</v>
      </c>
      <c r="AA36">
        <v>2064</v>
      </c>
      <c r="AB36">
        <v>2054</v>
      </c>
      <c r="AC36">
        <v>2045</v>
      </c>
      <c r="AD36">
        <v>2037</v>
      </c>
      <c r="AE36">
        <v>2028</v>
      </c>
      <c r="AF36">
        <v>2021</v>
      </c>
      <c r="AG36">
        <v>2014</v>
      </c>
      <c r="AH36">
        <v>2007</v>
      </c>
      <c r="AI36">
        <v>2004</v>
      </c>
      <c r="AJ36">
        <v>1995</v>
      </c>
      <c r="AK36">
        <v>1987</v>
      </c>
      <c r="AL36">
        <v>1992</v>
      </c>
      <c r="AM36">
        <v>2006</v>
      </c>
      <c r="AN36">
        <v>2009</v>
      </c>
      <c r="AO36">
        <v>2009</v>
      </c>
      <c r="AP36">
        <v>1998</v>
      </c>
      <c r="AQ36">
        <v>1981</v>
      </c>
      <c r="AR36">
        <v>1981</v>
      </c>
      <c r="AS36">
        <v>1970</v>
      </c>
      <c r="AT36">
        <v>1951</v>
      </c>
      <c r="AU36">
        <v>1949</v>
      </c>
      <c r="AV36">
        <v>1940</v>
      </c>
      <c r="AW36">
        <v>1928</v>
      </c>
      <c r="AX36">
        <v>1921</v>
      </c>
      <c r="AY36">
        <v>1918</v>
      </c>
      <c r="AZ36">
        <v>1914</v>
      </c>
      <c r="BA36">
        <v>1910</v>
      </c>
      <c r="BB36">
        <v>1912</v>
      </c>
      <c r="BC36">
        <v>1906</v>
      </c>
      <c r="BD36">
        <v>1905</v>
      </c>
      <c r="BE36">
        <v>1905</v>
      </c>
      <c r="BF36">
        <v>1904</v>
      </c>
      <c r="BG36">
        <v>1903</v>
      </c>
      <c r="BH36">
        <v>1903</v>
      </c>
      <c r="BI36">
        <v>1906</v>
      </c>
      <c r="BJ36">
        <v>1912</v>
      </c>
      <c r="BK36">
        <v>1918</v>
      </c>
      <c r="BL36">
        <v>1918</v>
      </c>
      <c r="BM36">
        <v>1915</v>
      </c>
      <c r="BN36">
        <v>1917</v>
      </c>
      <c r="BO36">
        <v>1909</v>
      </c>
      <c r="BP36">
        <v>1905</v>
      </c>
      <c r="BQ36">
        <v>1897</v>
      </c>
      <c r="BR36">
        <v>1898</v>
      </c>
      <c r="BS36">
        <v>1905</v>
      </c>
      <c r="BT36">
        <v>1920</v>
      </c>
      <c r="BU36">
        <v>1934</v>
      </c>
      <c r="BV36">
        <v>1937</v>
      </c>
      <c r="BW36">
        <v>1936</v>
      </c>
      <c r="BX36">
        <v>0</v>
      </c>
      <c r="BY36">
        <v>0</v>
      </c>
      <c r="BZ36">
        <v>0</v>
      </c>
      <c r="CA36">
        <v>0</v>
      </c>
    </row>
    <row r="37" spans="1:79" x14ac:dyDescent="0.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2297</v>
      </c>
      <c r="N37">
        <v>2284</v>
      </c>
      <c r="O37">
        <v>2273</v>
      </c>
      <c r="P37">
        <v>2259</v>
      </c>
      <c r="Q37">
        <v>2239</v>
      </c>
      <c r="R37">
        <v>2206</v>
      </c>
      <c r="S37">
        <v>2188</v>
      </c>
      <c r="T37">
        <v>2170</v>
      </c>
      <c r="U37">
        <v>2149</v>
      </c>
      <c r="V37">
        <v>2132</v>
      </c>
      <c r="W37">
        <v>2114</v>
      </c>
      <c r="X37">
        <v>2100</v>
      </c>
      <c r="Y37">
        <v>2090</v>
      </c>
      <c r="Z37">
        <v>2077</v>
      </c>
      <c r="AA37">
        <v>2064</v>
      </c>
      <c r="AB37">
        <v>2055</v>
      </c>
      <c r="AC37">
        <v>2050</v>
      </c>
      <c r="AD37">
        <v>2042</v>
      </c>
      <c r="AE37">
        <v>2031</v>
      </c>
      <c r="AF37">
        <v>2024</v>
      </c>
      <c r="AG37">
        <v>2019</v>
      </c>
      <c r="AH37">
        <v>2015</v>
      </c>
      <c r="AI37">
        <v>2012</v>
      </c>
      <c r="AJ37">
        <v>2002</v>
      </c>
      <c r="AK37">
        <v>1991</v>
      </c>
      <c r="AL37">
        <v>1995</v>
      </c>
      <c r="AM37">
        <v>2005</v>
      </c>
      <c r="AN37">
        <v>2010</v>
      </c>
      <c r="AO37">
        <v>2007</v>
      </c>
      <c r="AP37">
        <v>1994</v>
      </c>
      <c r="AQ37">
        <v>1981</v>
      </c>
      <c r="AR37">
        <v>1970</v>
      </c>
      <c r="AS37">
        <v>1957</v>
      </c>
      <c r="AT37">
        <v>1958</v>
      </c>
      <c r="AU37">
        <v>1954</v>
      </c>
      <c r="AV37">
        <v>1939</v>
      </c>
      <c r="AW37">
        <v>1930</v>
      </c>
      <c r="AX37">
        <v>1925</v>
      </c>
      <c r="AY37">
        <v>1921</v>
      </c>
      <c r="AZ37">
        <v>1916</v>
      </c>
      <c r="BA37">
        <v>1913</v>
      </c>
      <c r="BB37">
        <v>1910</v>
      </c>
      <c r="BC37">
        <v>1908</v>
      </c>
      <c r="BD37">
        <v>1905</v>
      </c>
      <c r="BE37">
        <v>1903</v>
      </c>
      <c r="BF37">
        <v>1902</v>
      </c>
      <c r="BG37">
        <v>1902</v>
      </c>
      <c r="BH37">
        <v>1900</v>
      </c>
      <c r="BI37">
        <v>1901</v>
      </c>
      <c r="BJ37">
        <v>1906</v>
      </c>
      <c r="BK37">
        <v>1908</v>
      </c>
      <c r="BL37">
        <v>1907</v>
      </c>
      <c r="BM37">
        <v>1904</v>
      </c>
      <c r="BN37">
        <v>1899</v>
      </c>
      <c r="BO37">
        <v>1894</v>
      </c>
      <c r="BP37">
        <v>1890</v>
      </c>
      <c r="BQ37">
        <v>1889</v>
      </c>
      <c r="BR37">
        <v>1890</v>
      </c>
      <c r="BS37">
        <v>1894</v>
      </c>
      <c r="BT37">
        <v>1902</v>
      </c>
      <c r="BU37">
        <v>1909</v>
      </c>
      <c r="BV37">
        <v>1912</v>
      </c>
      <c r="BW37">
        <v>1913</v>
      </c>
      <c r="BX37">
        <v>0</v>
      </c>
      <c r="BY37">
        <v>0</v>
      </c>
      <c r="BZ37">
        <v>0</v>
      </c>
      <c r="CA37">
        <v>0</v>
      </c>
    </row>
    <row r="38" spans="1:79" x14ac:dyDescent="0.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2324</v>
      </c>
      <c r="L38">
        <v>2303</v>
      </c>
      <c r="M38">
        <v>2291</v>
      </c>
      <c r="N38">
        <v>2277</v>
      </c>
      <c r="O38">
        <v>2266</v>
      </c>
      <c r="P38">
        <v>2254</v>
      </c>
      <c r="Q38">
        <v>2236</v>
      </c>
      <c r="R38">
        <v>2208</v>
      </c>
      <c r="S38">
        <v>2195</v>
      </c>
      <c r="T38">
        <v>2172</v>
      </c>
      <c r="U38">
        <v>2156</v>
      </c>
      <c r="V38">
        <v>2142</v>
      </c>
      <c r="W38">
        <v>2123</v>
      </c>
      <c r="X38">
        <v>2102</v>
      </c>
      <c r="Y38">
        <v>2096</v>
      </c>
      <c r="Z38">
        <v>2085</v>
      </c>
      <c r="AA38">
        <v>2071</v>
      </c>
      <c r="AB38">
        <v>2060</v>
      </c>
      <c r="AC38">
        <v>2055</v>
      </c>
      <c r="AD38">
        <v>2047</v>
      </c>
      <c r="AE38">
        <v>2037</v>
      </c>
      <c r="AF38">
        <v>2033</v>
      </c>
      <c r="AG38">
        <v>2029</v>
      </c>
      <c r="AH38">
        <v>2023</v>
      </c>
      <c r="AI38">
        <v>2020</v>
      </c>
      <c r="AJ38">
        <v>2010</v>
      </c>
      <c r="AK38">
        <v>1997</v>
      </c>
      <c r="AL38">
        <v>1997</v>
      </c>
      <c r="AM38">
        <v>2003</v>
      </c>
      <c r="AN38">
        <v>2011</v>
      </c>
      <c r="AO38">
        <v>2004</v>
      </c>
      <c r="AP38">
        <v>1988</v>
      </c>
      <c r="AQ38">
        <v>1979</v>
      </c>
      <c r="AR38">
        <v>1971</v>
      </c>
      <c r="AS38">
        <v>1965</v>
      </c>
      <c r="AT38">
        <v>1967</v>
      </c>
      <c r="AU38">
        <v>1962</v>
      </c>
      <c r="AV38">
        <v>1947</v>
      </c>
      <c r="AW38">
        <v>1936</v>
      </c>
      <c r="AX38">
        <v>1929</v>
      </c>
      <c r="AY38">
        <v>1924</v>
      </c>
      <c r="AZ38">
        <v>1919</v>
      </c>
      <c r="BA38">
        <v>1916</v>
      </c>
      <c r="BB38">
        <v>1914</v>
      </c>
      <c r="BC38">
        <v>1912</v>
      </c>
      <c r="BD38">
        <v>1908</v>
      </c>
      <c r="BE38">
        <v>1905</v>
      </c>
      <c r="BF38">
        <v>1904</v>
      </c>
      <c r="BG38">
        <v>1902</v>
      </c>
      <c r="BH38">
        <v>1901</v>
      </c>
      <c r="BI38">
        <v>1897</v>
      </c>
      <c r="BJ38">
        <v>1893</v>
      </c>
      <c r="BK38">
        <v>1893</v>
      </c>
      <c r="BL38">
        <v>1893</v>
      </c>
      <c r="BM38">
        <v>1893</v>
      </c>
      <c r="BN38">
        <v>1890</v>
      </c>
      <c r="BO38">
        <v>1888</v>
      </c>
      <c r="BP38">
        <v>1885</v>
      </c>
      <c r="BQ38">
        <v>1883</v>
      </c>
      <c r="BR38">
        <v>1881</v>
      </c>
      <c r="BS38">
        <v>1880</v>
      </c>
      <c r="BT38">
        <v>1883</v>
      </c>
      <c r="BU38">
        <v>1887</v>
      </c>
      <c r="BV38">
        <v>1889</v>
      </c>
      <c r="BW38">
        <v>1892</v>
      </c>
      <c r="BX38">
        <v>1888</v>
      </c>
      <c r="BY38">
        <v>0</v>
      </c>
      <c r="BZ38">
        <v>0</v>
      </c>
      <c r="CA38">
        <v>0</v>
      </c>
    </row>
    <row r="39" spans="1:79" x14ac:dyDescent="0.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2390</v>
      </c>
      <c r="I39">
        <v>2363</v>
      </c>
      <c r="J39">
        <v>2343</v>
      </c>
      <c r="K39">
        <v>2319</v>
      </c>
      <c r="L39">
        <v>2302</v>
      </c>
      <c r="M39">
        <v>2284</v>
      </c>
      <c r="N39">
        <v>2272</v>
      </c>
      <c r="O39">
        <v>2263</v>
      </c>
      <c r="P39">
        <v>2251</v>
      </c>
      <c r="Q39">
        <v>2234</v>
      </c>
      <c r="R39">
        <v>2217</v>
      </c>
      <c r="S39">
        <v>2201</v>
      </c>
      <c r="T39">
        <v>2187</v>
      </c>
      <c r="U39">
        <v>2163</v>
      </c>
      <c r="V39">
        <v>2146</v>
      </c>
      <c r="W39">
        <v>2126</v>
      </c>
      <c r="X39">
        <v>2111</v>
      </c>
      <c r="Y39">
        <v>2107</v>
      </c>
      <c r="Z39">
        <v>2096</v>
      </c>
      <c r="AA39">
        <v>2077</v>
      </c>
      <c r="AB39">
        <v>2067</v>
      </c>
      <c r="AC39">
        <v>2061</v>
      </c>
      <c r="AD39">
        <v>2050</v>
      </c>
      <c r="AE39">
        <v>2045</v>
      </c>
      <c r="AF39">
        <v>2041</v>
      </c>
      <c r="AG39">
        <v>2033</v>
      </c>
      <c r="AH39">
        <v>2027</v>
      </c>
      <c r="AI39">
        <v>2026</v>
      </c>
      <c r="AJ39">
        <v>2016</v>
      </c>
      <c r="AK39">
        <v>2002</v>
      </c>
      <c r="AL39">
        <v>2001</v>
      </c>
      <c r="AM39">
        <v>2005</v>
      </c>
      <c r="AN39">
        <v>2014</v>
      </c>
      <c r="AO39">
        <v>2010</v>
      </c>
      <c r="AP39">
        <v>1991</v>
      </c>
      <c r="AQ39">
        <v>1984</v>
      </c>
      <c r="AR39">
        <v>1975</v>
      </c>
      <c r="AS39">
        <v>1976</v>
      </c>
      <c r="AT39">
        <v>1980</v>
      </c>
      <c r="AU39">
        <v>1977</v>
      </c>
      <c r="AV39">
        <v>1965</v>
      </c>
      <c r="AW39">
        <v>1945</v>
      </c>
      <c r="AX39">
        <v>1934</v>
      </c>
      <c r="AY39">
        <v>1929</v>
      </c>
      <c r="AZ39">
        <v>1923</v>
      </c>
      <c r="BA39">
        <v>1920</v>
      </c>
      <c r="BB39">
        <v>1919</v>
      </c>
      <c r="BC39">
        <v>1917</v>
      </c>
      <c r="BD39">
        <v>1915</v>
      </c>
      <c r="BE39">
        <v>1912</v>
      </c>
      <c r="BF39">
        <v>1909</v>
      </c>
      <c r="BG39">
        <v>1906</v>
      </c>
      <c r="BH39">
        <v>1904</v>
      </c>
      <c r="BI39">
        <v>1903</v>
      </c>
      <c r="BJ39">
        <v>1907</v>
      </c>
      <c r="BK39">
        <v>1915</v>
      </c>
      <c r="BL39">
        <v>1921</v>
      </c>
      <c r="BM39">
        <v>1913</v>
      </c>
      <c r="BN39">
        <v>1899</v>
      </c>
      <c r="BO39">
        <v>1892</v>
      </c>
      <c r="BP39">
        <v>1883</v>
      </c>
      <c r="BQ39">
        <v>1878</v>
      </c>
      <c r="BR39">
        <v>1876</v>
      </c>
      <c r="BS39">
        <v>1872</v>
      </c>
      <c r="BT39">
        <v>1872</v>
      </c>
      <c r="BU39">
        <v>1872</v>
      </c>
      <c r="BV39">
        <v>1874</v>
      </c>
      <c r="BW39">
        <v>1873</v>
      </c>
      <c r="BX39">
        <v>1870</v>
      </c>
      <c r="BY39">
        <v>0</v>
      </c>
      <c r="BZ39">
        <v>0</v>
      </c>
      <c r="CA39">
        <v>0</v>
      </c>
    </row>
    <row r="40" spans="1:79" x14ac:dyDescent="0.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2414</v>
      </c>
      <c r="H40">
        <v>2392</v>
      </c>
      <c r="I40">
        <v>2363</v>
      </c>
      <c r="J40">
        <v>2340</v>
      </c>
      <c r="K40">
        <v>2318</v>
      </c>
      <c r="L40">
        <v>2298</v>
      </c>
      <c r="M40">
        <v>2285</v>
      </c>
      <c r="N40">
        <v>2274</v>
      </c>
      <c r="O40">
        <v>2263</v>
      </c>
      <c r="P40">
        <v>2253</v>
      </c>
      <c r="Q40">
        <v>2241</v>
      </c>
      <c r="R40">
        <v>2226</v>
      </c>
      <c r="S40">
        <v>2211</v>
      </c>
      <c r="T40">
        <v>2191</v>
      </c>
      <c r="U40">
        <v>2168</v>
      </c>
      <c r="V40">
        <v>2148</v>
      </c>
      <c r="W40">
        <v>2132</v>
      </c>
      <c r="X40">
        <v>2128</v>
      </c>
      <c r="Y40">
        <v>2127</v>
      </c>
      <c r="Z40">
        <v>2107</v>
      </c>
      <c r="AA40">
        <v>2092</v>
      </c>
      <c r="AB40">
        <v>2080</v>
      </c>
      <c r="AC40">
        <v>2068</v>
      </c>
      <c r="AD40">
        <v>2057</v>
      </c>
      <c r="AE40">
        <v>2054</v>
      </c>
      <c r="AF40">
        <v>2046</v>
      </c>
      <c r="AG40">
        <v>2040</v>
      </c>
      <c r="AH40">
        <v>2035</v>
      </c>
      <c r="AI40">
        <v>2031</v>
      </c>
      <c r="AJ40">
        <v>2021</v>
      </c>
      <c r="AK40">
        <v>2004</v>
      </c>
      <c r="AL40">
        <v>2008</v>
      </c>
      <c r="AM40">
        <v>2017</v>
      </c>
      <c r="AN40">
        <v>2020</v>
      </c>
      <c r="AO40">
        <v>2019</v>
      </c>
      <c r="AP40">
        <v>2010</v>
      </c>
      <c r="AQ40">
        <v>1993</v>
      </c>
      <c r="AR40">
        <v>1982</v>
      </c>
      <c r="AS40">
        <v>1984</v>
      </c>
      <c r="AT40">
        <v>1994</v>
      </c>
      <c r="AU40">
        <v>1989</v>
      </c>
      <c r="AV40">
        <v>1974</v>
      </c>
      <c r="AW40">
        <v>1953</v>
      </c>
      <c r="AX40">
        <v>1944</v>
      </c>
      <c r="AY40">
        <v>1935</v>
      </c>
      <c r="AZ40">
        <v>1930</v>
      </c>
      <c r="BA40">
        <v>1930</v>
      </c>
      <c r="BB40">
        <v>1927</v>
      </c>
      <c r="BC40">
        <v>1928</v>
      </c>
      <c r="BD40">
        <v>1929</v>
      </c>
      <c r="BE40">
        <v>1926</v>
      </c>
      <c r="BF40">
        <v>1929</v>
      </c>
      <c r="BG40">
        <v>1924</v>
      </c>
      <c r="BH40">
        <v>1910</v>
      </c>
      <c r="BI40">
        <v>1908</v>
      </c>
      <c r="BJ40">
        <v>1917</v>
      </c>
      <c r="BK40">
        <v>1931</v>
      </c>
      <c r="BL40">
        <v>1936</v>
      </c>
      <c r="BM40">
        <v>1938</v>
      </c>
      <c r="BN40">
        <v>1935</v>
      </c>
      <c r="BO40">
        <v>1919</v>
      </c>
      <c r="BP40">
        <v>1891</v>
      </c>
      <c r="BQ40">
        <v>1884</v>
      </c>
      <c r="BR40">
        <v>1879</v>
      </c>
      <c r="BS40">
        <v>1875</v>
      </c>
      <c r="BT40">
        <v>1871</v>
      </c>
      <c r="BU40">
        <v>1868</v>
      </c>
      <c r="BV40">
        <v>1866</v>
      </c>
      <c r="BW40">
        <v>1864</v>
      </c>
      <c r="BX40">
        <v>1863</v>
      </c>
      <c r="BY40">
        <v>0</v>
      </c>
      <c r="BZ40">
        <v>0</v>
      </c>
      <c r="CA40">
        <v>0</v>
      </c>
    </row>
    <row r="41" spans="1:79" x14ac:dyDescent="0.5">
      <c r="A41">
        <v>0</v>
      </c>
      <c r="B41">
        <v>0</v>
      </c>
      <c r="C41">
        <v>0</v>
      </c>
      <c r="D41">
        <v>0</v>
      </c>
      <c r="E41">
        <v>0</v>
      </c>
      <c r="F41">
        <v>2448</v>
      </c>
      <c r="G41">
        <v>2432</v>
      </c>
      <c r="H41">
        <v>2397</v>
      </c>
      <c r="I41">
        <v>2373</v>
      </c>
      <c r="J41">
        <v>2348</v>
      </c>
      <c r="K41">
        <v>2323</v>
      </c>
      <c r="L41">
        <v>2303</v>
      </c>
      <c r="M41">
        <v>2287</v>
      </c>
      <c r="N41">
        <v>2276</v>
      </c>
      <c r="O41">
        <v>2270</v>
      </c>
      <c r="P41">
        <v>2262</v>
      </c>
      <c r="Q41">
        <v>2252</v>
      </c>
      <c r="R41">
        <v>2239</v>
      </c>
      <c r="S41">
        <v>2213</v>
      </c>
      <c r="T41">
        <v>2194</v>
      </c>
      <c r="U41">
        <v>2178</v>
      </c>
      <c r="V41">
        <v>2158</v>
      </c>
      <c r="W41">
        <v>2145</v>
      </c>
      <c r="X41">
        <v>2141</v>
      </c>
      <c r="Y41">
        <v>2137</v>
      </c>
      <c r="Z41">
        <v>2124</v>
      </c>
      <c r="AA41">
        <v>2103</v>
      </c>
      <c r="AB41">
        <v>2089</v>
      </c>
      <c r="AC41">
        <v>2072</v>
      </c>
      <c r="AD41">
        <v>2068</v>
      </c>
      <c r="AE41">
        <v>2059</v>
      </c>
      <c r="AF41">
        <v>2051</v>
      </c>
      <c r="AG41">
        <v>2044</v>
      </c>
      <c r="AH41">
        <v>2039</v>
      </c>
      <c r="AI41">
        <v>2034</v>
      </c>
      <c r="AJ41">
        <v>2023</v>
      </c>
      <c r="AK41">
        <v>2010</v>
      </c>
      <c r="AL41">
        <v>2020</v>
      </c>
      <c r="AM41">
        <v>2029</v>
      </c>
      <c r="AN41">
        <v>2030</v>
      </c>
      <c r="AO41">
        <v>2026</v>
      </c>
      <c r="AP41">
        <v>2020</v>
      </c>
      <c r="AQ41">
        <v>2005</v>
      </c>
      <c r="AR41">
        <v>1992</v>
      </c>
      <c r="AS41">
        <v>1990</v>
      </c>
      <c r="AT41">
        <v>2006</v>
      </c>
      <c r="AU41">
        <v>2001</v>
      </c>
      <c r="AV41">
        <v>1984</v>
      </c>
      <c r="AW41">
        <v>1969</v>
      </c>
      <c r="AX41">
        <v>1952</v>
      </c>
      <c r="AY41">
        <v>1946</v>
      </c>
      <c r="AZ41">
        <v>1942</v>
      </c>
      <c r="BA41">
        <v>1944</v>
      </c>
      <c r="BB41">
        <v>1943</v>
      </c>
      <c r="BC41">
        <v>1942</v>
      </c>
      <c r="BD41">
        <v>1949</v>
      </c>
      <c r="BE41">
        <v>1942</v>
      </c>
      <c r="BF41">
        <v>1947</v>
      </c>
      <c r="BG41">
        <v>1932</v>
      </c>
      <c r="BH41">
        <v>1919</v>
      </c>
      <c r="BI41">
        <v>1915</v>
      </c>
      <c r="BJ41">
        <v>1926</v>
      </c>
      <c r="BK41">
        <v>1937</v>
      </c>
      <c r="BL41">
        <v>1944</v>
      </c>
      <c r="BM41">
        <v>1947</v>
      </c>
      <c r="BN41">
        <v>1947</v>
      </c>
      <c r="BO41">
        <v>1932</v>
      </c>
      <c r="BP41">
        <v>1905</v>
      </c>
      <c r="BQ41">
        <v>1892</v>
      </c>
      <c r="BR41">
        <v>1884</v>
      </c>
      <c r="BS41">
        <v>1892</v>
      </c>
      <c r="BT41">
        <v>1892</v>
      </c>
      <c r="BU41">
        <v>1892</v>
      </c>
      <c r="BV41">
        <v>1892</v>
      </c>
      <c r="BW41">
        <v>1892</v>
      </c>
      <c r="BX41">
        <v>0</v>
      </c>
      <c r="BY41">
        <v>0</v>
      </c>
      <c r="BZ41">
        <v>0</v>
      </c>
      <c r="CA41">
        <v>0</v>
      </c>
    </row>
    <row r="42" spans="1:79" x14ac:dyDescent="0.5">
      <c r="A42">
        <v>0</v>
      </c>
      <c r="B42">
        <v>0</v>
      </c>
      <c r="C42">
        <v>0</v>
      </c>
      <c r="D42">
        <v>0</v>
      </c>
      <c r="E42">
        <v>0</v>
      </c>
      <c r="F42">
        <v>2465</v>
      </c>
      <c r="G42">
        <v>2453</v>
      </c>
      <c r="H42">
        <v>2421</v>
      </c>
      <c r="I42">
        <v>2393</v>
      </c>
      <c r="J42">
        <v>2362</v>
      </c>
      <c r="K42">
        <v>2329</v>
      </c>
      <c r="L42">
        <v>2308</v>
      </c>
      <c r="M42">
        <v>2296</v>
      </c>
      <c r="N42">
        <v>2286</v>
      </c>
      <c r="O42">
        <v>2287</v>
      </c>
      <c r="P42">
        <v>2282</v>
      </c>
      <c r="Q42">
        <v>2275</v>
      </c>
      <c r="R42">
        <v>2255</v>
      </c>
      <c r="S42">
        <v>2224</v>
      </c>
      <c r="T42">
        <v>2202</v>
      </c>
      <c r="U42">
        <v>2184</v>
      </c>
      <c r="V42">
        <v>2170</v>
      </c>
      <c r="W42">
        <v>2152</v>
      </c>
      <c r="X42">
        <v>2138</v>
      </c>
      <c r="Y42">
        <v>2130</v>
      </c>
      <c r="Z42">
        <v>2118</v>
      </c>
      <c r="AA42">
        <v>2100</v>
      </c>
      <c r="AB42">
        <v>2089</v>
      </c>
      <c r="AC42">
        <v>2082</v>
      </c>
      <c r="AD42">
        <v>2073</v>
      </c>
      <c r="AE42">
        <v>2063</v>
      </c>
      <c r="AF42">
        <v>2053</v>
      </c>
      <c r="AG42">
        <v>2049</v>
      </c>
      <c r="AH42">
        <v>2044</v>
      </c>
      <c r="AI42">
        <v>2037</v>
      </c>
      <c r="AJ42">
        <v>2024</v>
      </c>
      <c r="AK42">
        <v>2020</v>
      </c>
      <c r="AL42">
        <v>2036</v>
      </c>
      <c r="AM42">
        <v>2041</v>
      </c>
      <c r="AN42">
        <v>2038</v>
      </c>
      <c r="AO42">
        <v>2035</v>
      </c>
      <c r="AP42">
        <v>2026</v>
      </c>
      <c r="AQ42">
        <v>2013</v>
      </c>
      <c r="AR42">
        <v>2005</v>
      </c>
      <c r="AS42">
        <v>2000</v>
      </c>
      <c r="AT42">
        <v>2002</v>
      </c>
      <c r="AU42">
        <v>2012</v>
      </c>
      <c r="AV42">
        <v>2006</v>
      </c>
      <c r="AW42">
        <v>1993</v>
      </c>
      <c r="AX42">
        <v>1965</v>
      </c>
      <c r="AY42">
        <v>1961</v>
      </c>
      <c r="AZ42">
        <v>1959</v>
      </c>
      <c r="BA42">
        <v>1962</v>
      </c>
      <c r="BB42">
        <v>1964</v>
      </c>
      <c r="BC42">
        <v>1964</v>
      </c>
      <c r="BD42">
        <v>1964</v>
      </c>
      <c r="BE42">
        <v>1960</v>
      </c>
      <c r="BF42">
        <v>1950</v>
      </c>
      <c r="BG42">
        <v>1935</v>
      </c>
      <c r="BH42">
        <v>1925</v>
      </c>
      <c r="BI42">
        <v>1923</v>
      </c>
      <c r="BJ42">
        <v>1934</v>
      </c>
      <c r="BK42">
        <v>1945</v>
      </c>
      <c r="BL42">
        <v>1951</v>
      </c>
      <c r="BM42">
        <v>1953</v>
      </c>
      <c r="BN42">
        <v>1947</v>
      </c>
      <c r="BO42">
        <v>1933</v>
      </c>
      <c r="BP42">
        <v>1912</v>
      </c>
      <c r="BQ42">
        <v>1897</v>
      </c>
      <c r="BR42">
        <v>1892</v>
      </c>
      <c r="BS42">
        <v>1877</v>
      </c>
      <c r="BT42">
        <v>1875</v>
      </c>
      <c r="BU42">
        <v>1871</v>
      </c>
      <c r="BV42">
        <v>1870</v>
      </c>
      <c r="BW42">
        <v>1892</v>
      </c>
      <c r="BX42">
        <v>0</v>
      </c>
      <c r="BY42">
        <v>0</v>
      </c>
      <c r="BZ42">
        <v>0</v>
      </c>
      <c r="CA42">
        <v>0</v>
      </c>
    </row>
    <row r="43" spans="1:79" x14ac:dyDescent="0.5">
      <c r="A43">
        <v>0</v>
      </c>
      <c r="B43">
        <v>0</v>
      </c>
      <c r="C43">
        <v>0</v>
      </c>
      <c r="D43">
        <v>0</v>
      </c>
      <c r="E43">
        <v>0</v>
      </c>
      <c r="F43">
        <v>2481</v>
      </c>
      <c r="G43">
        <v>2469</v>
      </c>
      <c r="H43">
        <v>2430</v>
      </c>
      <c r="I43">
        <v>2399</v>
      </c>
      <c r="J43">
        <v>2368</v>
      </c>
      <c r="K43">
        <v>2338</v>
      </c>
      <c r="L43">
        <v>2317</v>
      </c>
      <c r="M43">
        <v>2312</v>
      </c>
      <c r="N43">
        <v>2309</v>
      </c>
      <c r="O43">
        <v>2305</v>
      </c>
      <c r="P43">
        <v>2299</v>
      </c>
      <c r="Q43">
        <v>2293</v>
      </c>
      <c r="R43">
        <v>2273</v>
      </c>
      <c r="S43">
        <v>2246</v>
      </c>
      <c r="T43">
        <v>2212</v>
      </c>
      <c r="U43">
        <v>2194</v>
      </c>
      <c r="V43">
        <v>2179</v>
      </c>
      <c r="W43">
        <v>2161</v>
      </c>
      <c r="X43">
        <v>2152</v>
      </c>
      <c r="Y43">
        <v>2137</v>
      </c>
      <c r="Z43">
        <v>2126</v>
      </c>
      <c r="AA43">
        <v>2117</v>
      </c>
      <c r="AB43">
        <v>2108</v>
      </c>
      <c r="AC43">
        <v>2093</v>
      </c>
      <c r="AD43">
        <v>2077</v>
      </c>
      <c r="AE43">
        <v>2067</v>
      </c>
      <c r="AF43">
        <v>2062</v>
      </c>
      <c r="AG43">
        <v>2055</v>
      </c>
      <c r="AH43">
        <v>2048</v>
      </c>
      <c r="AI43">
        <v>2040</v>
      </c>
      <c r="AJ43">
        <v>2026</v>
      </c>
      <c r="AK43">
        <v>2029</v>
      </c>
      <c r="AL43">
        <v>2045</v>
      </c>
      <c r="AM43">
        <v>2050</v>
      </c>
      <c r="AN43">
        <v>2046</v>
      </c>
      <c r="AO43">
        <v>2045</v>
      </c>
      <c r="AP43">
        <v>2044</v>
      </c>
      <c r="AQ43">
        <v>2024</v>
      </c>
      <c r="AR43">
        <v>2013</v>
      </c>
      <c r="AS43">
        <v>2008</v>
      </c>
      <c r="AT43">
        <v>2010</v>
      </c>
      <c r="AU43">
        <v>2021</v>
      </c>
      <c r="AV43">
        <v>2021</v>
      </c>
      <c r="AW43">
        <v>2012</v>
      </c>
      <c r="AX43">
        <v>1990</v>
      </c>
      <c r="AY43">
        <v>1987</v>
      </c>
      <c r="AZ43">
        <v>1983</v>
      </c>
      <c r="BA43">
        <v>1985</v>
      </c>
      <c r="BB43">
        <v>1986</v>
      </c>
      <c r="BC43">
        <v>1983</v>
      </c>
      <c r="BD43">
        <v>1976</v>
      </c>
      <c r="BE43">
        <v>1966</v>
      </c>
      <c r="BF43">
        <v>1952</v>
      </c>
      <c r="BG43">
        <v>1943</v>
      </c>
      <c r="BH43">
        <v>1930</v>
      </c>
      <c r="BI43">
        <v>1929</v>
      </c>
      <c r="BJ43">
        <v>1939</v>
      </c>
      <c r="BK43">
        <v>1950</v>
      </c>
      <c r="BL43">
        <v>1958</v>
      </c>
      <c r="BM43">
        <v>1958</v>
      </c>
      <c r="BN43">
        <v>1950</v>
      </c>
      <c r="BO43">
        <v>1925</v>
      </c>
      <c r="BP43">
        <v>1917</v>
      </c>
      <c r="BQ43">
        <v>1901</v>
      </c>
      <c r="BR43">
        <v>1892</v>
      </c>
      <c r="BS43">
        <v>1876</v>
      </c>
      <c r="BT43">
        <v>1873</v>
      </c>
      <c r="BU43">
        <v>1872</v>
      </c>
      <c r="BV43">
        <v>1881</v>
      </c>
      <c r="BW43">
        <v>1892</v>
      </c>
      <c r="BX43">
        <v>0</v>
      </c>
      <c r="BY43">
        <v>0</v>
      </c>
      <c r="BZ43">
        <v>0</v>
      </c>
      <c r="CA43">
        <v>0</v>
      </c>
    </row>
    <row r="44" spans="1:79" x14ac:dyDescent="0.5">
      <c r="A44">
        <v>0</v>
      </c>
      <c r="B44">
        <v>0</v>
      </c>
      <c r="C44">
        <v>0</v>
      </c>
      <c r="D44">
        <v>0</v>
      </c>
      <c r="E44">
        <v>0</v>
      </c>
      <c r="F44">
        <v>2484</v>
      </c>
      <c r="G44">
        <v>2466</v>
      </c>
      <c r="H44">
        <v>2433</v>
      </c>
      <c r="I44">
        <v>2397</v>
      </c>
      <c r="J44">
        <v>2365</v>
      </c>
      <c r="K44">
        <v>2341</v>
      </c>
      <c r="L44">
        <v>2328</v>
      </c>
      <c r="M44">
        <v>2320</v>
      </c>
      <c r="N44">
        <v>2313</v>
      </c>
      <c r="O44">
        <v>2304</v>
      </c>
      <c r="P44">
        <v>2298</v>
      </c>
      <c r="Q44">
        <v>2293</v>
      </c>
      <c r="R44">
        <v>2286</v>
      </c>
      <c r="S44">
        <v>2263</v>
      </c>
      <c r="T44">
        <v>2236</v>
      </c>
      <c r="U44">
        <v>2208</v>
      </c>
      <c r="V44">
        <v>2180</v>
      </c>
      <c r="W44">
        <v>2184</v>
      </c>
      <c r="X44">
        <v>2172</v>
      </c>
      <c r="Y44">
        <v>2157</v>
      </c>
      <c r="Z44">
        <v>2143</v>
      </c>
      <c r="AA44">
        <v>2130</v>
      </c>
      <c r="AB44">
        <v>2119</v>
      </c>
      <c r="AC44">
        <v>2102</v>
      </c>
      <c r="AD44">
        <v>2082</v>
      </c>
      <c r="AE44">
        <v>2074</v>
      </c>
      <c r="AF44">
        <v>2069</v>
      </c>
      <c r="AG44">
        <v>2060</v>
      </c>
      <c r="AH44">
        <v>2052</v>
      </c>
      <c r="AI44">
        <v>2041</v>
      </c>
      <c r="AJ44">
        <v>2029</v>
      </c>
      <c r="AK44">
        <v>2036</v>
      </c>
      <c r="AL44">
        <v>2055</v>
      </c>
      <c r="AM44">
        <v>2063</v>
      </c>
      <c r="AN44">
        <v>2057</v>
      </c>
      <c r="AO44">
        <v>2051</v>
      </c>
      <c r="AP44">
        <v>2052</v>
      </c>
      <c r="AQ44">
        <v>2051</v>
      </c>
      <c r="AR44">
        <v>2035</v>
      </c>
      <c r="AS44">
        <v>2020</v>
      </c>
      <c r="AT44">
        <v>2021</v>
      </c>
      <c r="AU44">
        <v>2032</v>
      </c>
      <c r="AV44">
        <v>2032</v>
      </c>
      <c r="AW44">
        <v>2025</v>
      </c>
      <c r="AX44">
        <v>2020</v>
      </c>
      <c r="AY44">
        <v>2015</v>
      </c>
      <c r="AZ44">
        <v>2010</v>
      </c>
      <c r="BA44">
        <v>2009</v>
      </c>
      <c r="BB44">
        <v>2007</v>
      </c>
      <c r="BC44">
        <v>1998</v>
      </c>
      <c r="BD44">
        <v>1990</v>
      </c>
      <c r="BE44">
        <v>1975</v>
      </c>
      <c r="BF44">
        <v>1953</v>
      </c>
      <c r="BG44">
        <v>1947</v>
      </c>
      <c r="BH44">
        <v>1937</v>
      </c>
      <c r="BI44">
        <v>1936</v>
      </c>
      <c r="BJ44">
        <v>1941</v>
      </c>
      <c r="BK44">
        <v>1951</v>
      </c>
      <c r="BL44">
        <v>1961</v>
      </c>
      <c r="BM44">
        <v>1961</v>
      </c>
      <c r="BN44">
        <v>1951</v>
      </c>
      <c r="BO44">
        <v>1920</v>
      </c>
      <c r="BP44">
        <v>1887</v>
      </c>
      <c r="BQ44">
        <v>1886</v>
      </c>
      <c r="BR44">
        <v>1882</v>
      </c>
      <c r="BS44">
        <v>1875</v>
      </c>
      <c r="BT44">
        <v>1873</v>
      </c>
      <c r="BU44">
        <v>1872</v>
      </c>
      <c r="BV44">
        <v>1884</v>
      </c>
      <c r="BW44">
        <v>1891</v>
      </c>
      <c r="BX44">
        <v>0</v>
      </c>
      <c r="BY44">
        <v>0</v>
      </c>
      <c r="BZ44">
        <v>0</v>
      </c>
      <c r="CA44">
        <v>0</v>
      </c>
    </row>
    <row r="45" spans="1:79" x14ac:dyDescent="0.5">
      <c r="A45">
        <v>0</v>
      </c>
      <c r="B45">
        <v>0</v>
      </c>
      <c r="C45">
        <v>0</v>
      </c>
      <c r="D45">
        <v>2485</v>
      </c>
      <c r="E45">
        <v>2477</v>
      </c>
      <c r="F45">
        <v>2476</v>
      </c>
      <c r="G45">
        <v>2459</v>
      </c>
      <c r="H45">
        <v>2429</v>
      </c>
      <c r="I45">
        <v>2385</v>
      </c>
      <c r="J45">
        <v>2359</v>
      </c>
      <c r="K45">
        <v>2337</v>
      </c>
      <c r="L45">
        <v>2323</v>
      </c>
      <c r="M45">
        <v>2312</v>
      </c>
      <c r="N45">
        <v>2300</v>
      </c>
      <c r="O45">
        <v>2284</v>
      </c>
      <c r="P45">
        <v>2276</v>
      </c>
      <c r="Q45">
        <v>2275</v>
      </c>
      <c r="R45">
        <v>2270</v>
      </c>
      <c r="S45">
        <v>2260</v>
      </c>
      <c r="T45">
        <v>2238</v>
      </c>
      <c r="U45">
        <v>2204</v>
      </c>
      <c r="V45">
        <v>2210</v>
      </c>
      <c r="W45">
        <v>2197</v>
      </c>
      <c r="X45">
        <v>2181</v>
      </c>
      <c r="Y45">
        <v>2168</v>
      </c>
      <c r="Z45">
        <v>2154</v>
      </c>
      <c r="AA45">
        <v>2137</v>
      </c>
      <c r="AB45">
        <v>2122</v>
      </c>
      <c r="AC45">
        <v>2106</v>
      </c>
      <c r="AD45">
        <v>2088</v>
      </c>
      <c r="AE45">
        <v>2080</v>
      </c>
      <c r="AF45">
        <v>2072</v>
      </c>
      <c r="AG45">
        <v>2065</v>
      </c>
      <c r="AH45">
        <v>2056</v>
      </c>
      <c r="AI45">
        <v>2043</v>
      </c>
      <c r="AJ45">
        <v>2032</v>
      </c>
      <c r="AK45">
        <v>2045</v>
      </c>
      <c r="AL45">
        <v>2066</v>
      </c>
      <c r="AM45">
        <v>2078</v>
      </c>
      <c r="AN45">
        <v>2072</v>
      </c>
      <c r="AO45">
        <v>2061</v>
      </c>
      <c r="AP45">
        <v>2052</v>
      </c>
      <c r="AQ45">
        <v>2049</v>
      </c>
      <c r="AR45">
        <v>2044</v>
      </c>
      <c r="AS45">
        <v>2033</v>
      </c>
      <c r="AT45">
        <v>2029</v>
      </c>
      <c r="AU45">
        <v>2042</v>
      </c>
      <c r="AV45">
        <v>2042</v>
      </c>
      <c r="AW45">
        <v>2043</v>
      </c>
      <c r="AX45">
        <v>2044</v>
      </c>
      <c r="AY45">
        <v>2041</v>
      </c>
      <c r="AZ45">
        <v>2037</v>
      </c>
      <c r="BA45">
        <v>2037</v>
      </c>
      <c r="BB45">
        <v>2031</v>
      </c>
      <c r="BC45">
        <v>2014</v>
      </c>
      <c r="BD45">
        <v>2001</v>
      </c>
      <c r="BE45">
        <v>1980</v>
      </c>
      <c r="BF45">
        <v>1961</v>
      </c>
      <c r="BG45">
        <v>1953</v>
      </c>
      <c r="BH45">
        <v>1946</v>
      </c>
      <c r="BI45">
        <v>1940</v>
      </c>
      <c r="BJ45">
        <v>1943</v>
      </c>
      <c r="BK45">
        <v>1951</v>
      </c>
      <c r="BL45">
        <v>1959</v>
      </c>
      <c r="BM45">
        <v>1959</v>
      </c>
      <c r="BN45">
        <v>1950</v>
      </c>
      <c r="BO45">
        <v>1940</v>
      </c>
      <c r="BP45">
        <v>1910</v>
      </c>
      <c r="BQ45">
        <v>1882</v>
      </c>
      <c r="BR45">
        <v>1881</v>
      </c>
      <c r="BS45">
        <v>1878</v>
      </c>
      <c r="BT45">
        <v>1874</v>
      </c>
      <c r="BU45">
        <v>1875</v>
      </c>
      <c r="BV45">
        <v>1877</v>
      </c>
      <c r="BW45">
        <v>1909</v>
      </c>
      <c r="BX45">
        <v>0</v>
      </c>
      <c r="BY45">
        <v>0</v>
      </c>
      <c r="BZ45">
        <v>0</v>
      </c>
      <c r="CA45">
        <v>0</v>
      </c>
    </row>
    <row r="46" spans="1:79" x14ac:dyDescent="0.5">
      <c r="A46">
        <v>0</v>
      </c>
      <c r="B46">
        <v>0</v>
      </c>
      <c r="C46">
        <v>0</v>
      </c>
      <c r="D46">
        <v>2486</v>
      </c>
      <c r="E46">
        <v>2470</v>
      </c>
      <c r="F46">
        <v>2463</v>
      </c>
      <c r="G46">
        <v>2450</v>
      </c>
      <c r="H46">
        <v>2414</v>
      </c>
      <c r="I46">
        <v>2377</v>
      </c>
      <c r="J46">
        <v>2351</v>
      </c>
      <c r="K46">
        <v>2327</v>
      </c>
      <c r="L46">
        <v>2310</v>
      </c>
      <c r="M46">
        <v>2296</v>
      </c>
      <c r="N46">
        <v>2282</v>
      </c>
      <c r="O46">
        <v>2271</v>
      </c>
      <c r="P46">
        <v>2266</v>
      </c>
      <c r="Q46">
        <v>2259</v>
      </c>
      <c r="R46">
        <v>2251</v>
      </c>
      <c r="S46">
        <v>2236</v>
      </c>
      <c r="T46">
        <v>2236</v>
      </c>
      <c r="U46">
        <v>2239</v>
      </c>
      <c r="V46">
        <v>2228</v>
      </c>
      <c r="W46">
        <v>2208</v>
      </c>
      <c r="X46">
        <v>2197</v>
      </c>
      <c r="Y46">
        <v>2182</v>
      </c>
      <c r="Z46">
        <v>2161</v>
      </c>
      <c r="AA46">
        <v>2139</v>
      </c>
      <c r="AB46">
        <v>2124</v>
      </c>
      <c r="AC46">
        <v>2111</v>
      </c>
      <c r="AD46">
        <v>2097</v>
      </c>
      <c r="AE46">
        <v>2084</v>
      </c>
      <c r="AF46">
        <v>2075</v>
      </c>
      <c r="AG46">
        <v>2067</v>
      </c>
      <c r="AH46">
        <v>2055</v>
      </c>
      <c r="AI46">
        <v>2044</v>
      </c>
      <c r="AJ46">
        <v>2036</v>
      </c>
      <c r="AK46">
        <v>2049</v>
      </c>
      <c r="AL46">
        <v>2069</v>
      </c>
      <c r="AM46">
        <v>2083</v>
      </c>
      <c r="AN46">
        <v>2078</v>
      </c>
      <c r="AO46">
        <v>2069</v>
      </c>
      <c r="AP46">
        <v>2058</v>
      </c>
      <c r="AQ46">
        <v>2050</v>
      </c>
      <c r="AR46">
        <v>2043</v>
      </c>
      <c r="AS46">
        <v>2035</v>
      </c>
      <c r="AT46">
        <v>2033</v>
      </c>
      <c r="AU46">
        <v>2044</v>
      </c>
      <c r="AV46">
        <v>2050</v>
      </c>
      <c r="AW46">
        <v>2057</v>
      </c>
      <c r="AX46">
        <v>2062</v>
      </c>
      <c r="AY46">
        <v>2064</v>
      </c>
      <c r="AZ46">
        <v>2068</v>
      </c>
      <c r="BA46">
        <v>2064</v>
      </c>
      <c r="BB46">
        <v>2050</v>
      </c>
      <c r="BC46">
        <v>2035</v>
      </c>
      <c r="BD46">
        <v>2012</v>
      </c>
      <c r="BE46">
        <v>1988</v>
      </c>
      <c r="BF46">
        <v>1968</v>
      </c>
      <c r="BG46">
        <v>1961</v>
      </c>
      <c r="BH46">
        <v>1956</v>
      </c>
      <c r="BI46">
        <v>1947</v>
      </c>
      <c r="BJ46">
        <v>1952</v>
      </c>
      <c r="BK46">
        <v>1955</v>
      </c>
      <c r="BL46">
        <v>1962</v>
      </c>
      <c r="BM46">
        <v>1959</v>
      </c>
      <c r="BN46">
        <v>1947</v>
      </c>
      <c r="BO46">
        <v>1938</v>
      </c>
      <c r="BP46">
        <v>1910</v>
      </c>
      <c r="BQ46">
        <v>1884</v>
      </c>
      <c r="BR46">
        <v>1883</v>
      </c>
      <c r="BS46">
        <v>1882</v>
      </c>
      <c r="BT46">
        <v>1878</v>
      </c>
      <c r="BU46">
        <v>1879</v>
      </c>
      <c r="BV46">
        <v>1898</v>
      </c>
      <c r="BW46">
        <v>1922</v>
      </c>
      <c r="BX46">
        <v>0</v>
      </c>
      <c r="BY46">
        <v>0</v>
      </c>
      <c r="BZ46">
        <v>0</v>
      </c>
      <c r="CA46">
        <v>0</v>
      </c>
    </row>
    <row r="47" spans="1:79" x14ac:dyDescent="0.5">
      <c r="A47">
        <v>0</v>
      </c>
      <c r="B47">
        <v>0</v>
      </c>
      <c r="C47">
        <v>0</v>
      </c>
      <c r="D47">
        <v>2487</v>
      </c>
      <c r="E47">
        <v>2469</v>
      </c>
      <c r="F47">
        <v>2456</v>
      </c>
      <c r="G47">
        <v>2436</v>
      </c>
      <c r="H47">
        <v>2406</v>
      </c>
      <c r="I47">
        <v>2370</v>
      </c>
      <c r="J47">
        <v>2341</v>
      </c>
      <c r="K47">
        <v>2319</v>
      </c>
      <c r="L47">
        <v>2296</v>
      </c>
      <c r="M47">
        <v>2286</v>
      </c>
      <c r="N47">
        <v>2279</v>
      </c>
      <c r="O47">
        <v>2270</v>
      </c>
      <c r="P47">
        <v>2265</v>
      </c>
      <c r="Q47">
        <v>2264</v>
      </c>
      <c r="R47">
        <v>2262</v>
      </c>
      <c r="S47">
        <v>2259</v>
      </c>
      <c r="T47">
        <v>2258</v>
      </c>
      <c r="U47">
        <v>2250</v>
      </c>
      <c r="V47">
        <v>2238</v>
      </c>
      <c r="W47">
        <v>2223</v>
      </c>
      <c r="X47">
        <v>2207</v>
      </c>
      <c r="Y47">
        <v>2188</v>
      </c>
      <c r="Z47">
        <v>2163</v>
      </c>
      <c r="AA47">
        <v>2143</v>
      </c>
      <c r="AB47">
        <v>2131</v>
      </c>
      <c r="AC47">
        <v>2119</v>
      </c>
      <c r="AD47">
        <v>2106</v>
      </c>
      <c r="AE47">
        <v>2091</v>
      </c>
      <c r="AF47">
        <v>2078</v>
      </c>
      <c r="AG47">
        <v>2069</v>
      </c>
      <c r="AH47">
        <v>2060</v>
      </c>
      <c r="AI47">
        <v>2051</v>
      </c>
      <c r="AJ47">
        <v>2039</v>
      </c>
      <c r="AK47">
        <v>2045</v>
      </c>
      <c r="AL47">
        <v>2061</v>
      </c>
      <c r="AM47">
        <v>2073</v>
      </c>
      <c r="AN47">
        <v>2073</v>
      </c>
      <c r="AO47">
        <v>2069</v>
      </c>
      <c r="AP47">
        <v>2066</v>
      </c>
      <c r="AQ47">
        <v>2056</v>
      </c>
      <c r="AR47">
        <v>2045</v>
      </c>
      <c r="AS47">
        <v>2036</v>
      </c>
      <c r="AT47">
        <v>2035</v>
      </c>
      <c r="AU47">
        <v>2043</v>
      </c>
      <c r="AV47">
        <v>2052</v>
      </c>
      <c r="AW47">
        <v>2063</v>
      </c>
      <c r="AX47">
        <v>2073</v>
      </c>
      <c r="AY47">
        <v>2082</v>
      </c>
      <c r="AZ47">
        <v>2090</v>
      </c>
      <c r="BA47">
        <v>2085</v>
      </c>
      <c r="BB47">
        <v>2069</v>
      </c>
      <c r="BC47">
        <v>2049</v>
      </c>
      <c r="BD47">
        <v>2025</v>
      </c>
      <c r="BE47">
        <v>1995</v>
      </c>
      <c r="BF47">
        <v>1977</v>
      </c>
      <c r="BG47">
        <v>1965</v>
      </c>
      <c r="BH47">
        <v>1957</v>
      </c>
      <c r="BI47">
        <v>1954</v>
      </c>
      <c r="BJ47">
        <v>1959</v>
      </c>
      <c r="BK47">
        <v>1962</v>
      </c>
      <c r="BL47">
        <v>1964</v>
      </c>
      <c r="BM47">
        <v>1959</v>
      </c>
      <c r="BN47">
        <v>1946</v>
      </c>
      <c r="BO47">
        <v>1937</v>
      </c>
      <c r="BP47">
        <v>1910</v>
      </c>
      <c r="BQ47">
        <v>1885</v>
      </c>
      <c r="BR47">
        <v>1884</v>
      </c>
      <c r="BS47">
        <v>1883</v>
      </c>
      <c r="BT47">
        <v>1880</v>
      </c>
      <c r="BU47">
        <v>1881</v>
      </c>
      <c r="BV47">
        <v>1900</v>
      </c>
      <c r="BW47">
        <v>1924</v>
      </c>
      <c r="BX47">
        <v>0</v>
      </c>
      <c r="BY47">
        <v>0</v>
      </c>
      <c r="BZ47">
        <v>0</v>
      </c>
      <c r="CA47">
        <v>0</v>
      </c>
    </row>
    <row r="48" spans="1:79" x14ac:dyDescent="0.5">
      <c r="A48">
        <v>0</v>
      </c>
      <c r="B48">
        <v>0</v>
      </c>
      <c r="C48">
        <v>0</v>
      </c>
      <c r="D48">
        <v>2492</v>
      </c>
      <c r="E48">
        <v>2475</v>
      </c>
      <c r="F48">
        <v>2454</v>
      </c>
      <c r="G48">
        <v>2425</v>
      </c>
      <c r="H48">
        <v>2395</v>
      </c>
      <c r="I48">
        <v>2360</v>
      </c>
      <c r="J48">
        <v>2336</v>
      </c>
      <c r="K48">
        <v>2307</v>
      </c>
      <c r="L48">
        <v>2292</v>
      </c>
      <c r="M48">
        <v>2286</v>
      </c>
      <c r="N48">
        <v>2280</v>
      </c>
      <c r="O48">
        <v>2277</v>
      </c>
      <c r="P48">
        <v>2274</v>
      </c>
      <c r="Q48">
        <v>2280</v>
      </c>
      <c r="R48">
        <v>2284</v>
      </c>
      <c r="S48">
        <v>2283</v>
      </c>
      <c r="T48">
        <v>2281</v>
      </c>
      <c r="U48">
        <v>2263</v>
      </c>
      <c r="V48">
        <v>2245</v>
      </c>
      <c r="W48">
        <v>2227</v>
      </c>
      <c r="X48">
        <v>2208</v>
      </c>
      <c r="Y48">
        <v>2187</v>
      </c>
      <c r="Z48">
        <v>2165</v>
      </c>
      <c r="AA48">
        <v>2147</v>
      </c>
      <c r="AB48">
        <v>2138</v>
      </c>
      <c r="AC48">
        <v>2128</v>
      </c>
      <c r="AD48">
        <v>2115</v>
      </c>
      <c r="AE48">
        <v>2099</v>
      </c>
      <c r="AF48">
        <v>2086</v>
      </c>
      <c r="AG48">
        <v>2075</v>
      </c>
      <c r="AH48">
        <v>2069</v>
      </c>
      <c r="AI48">
        <v>2069</v>
      </c>
      <c r="AJ48">
        <v>2064</v>
      </c>
      <c r="AK48">
        <v>2048</v>
      </c>
      <c r="AL48">
        <v>2051</v>
      </c>
      <c r="AM48">
        <v>2061</v>
      </c>
      <c r="AN48">
        <v>2067</v>
      </c>
      <c r="AO48">
        <v>2070</v>
      </c>
      <c r="AP48">
        <v>2074</v>
      </c>
      <c r="AQ48">
        <v>2071</v>
      </c>
      <c r="AR48">
        <v>2060</v>
      </c>
      <c r="AS48">
        <v>2047</v>
      </c>
      <c r="AT48">
        <v>2037</v>
      </c>
      <c r="AU48">
        <v>2041</v>
      </c>
      <c r="AV48">
        <v>2057</v>
      </c>
      <c r="AW48">
        <v>2070</v>
      </c>
      <c r="AX48">
        <v>2083</v>
      </c>
      <c r="AY48">
        <v>2099</v>
      </c>
      <c r="AZ48">
        <v>2107</v>
      </c>
      <c r="BA48">
        <v>2098</v>
      </c>
      <c r="BB48">
        <v>2086</v>
      </c>
      <c r="BC48">
        <v>2069</v>
      </c>
      <c r="BD48">
        <v>2041</v>
      </c>
      <c r="BE48">
        <v>2010</v>
      </c>
      <c r="BF48">
        <v>1988</v>
      </c>
      <c r="BG48">
        <v>1970</v>
      </c>
      <c r="BH48">
        <v>1961</v>
      </c>
      <c r="BI48">
        <v>1964</v>
      </c>
      <c r="BJ48">
        <v>1967</v>
      </c>
      <c r="BK48">
        <v>1970</v>
      </c>
      <c r="BL48">
        <v>1967</v>
      </c>
      <c r="BM48">
        <v>1956</v>
      </c>
      <c r="BN48">
        <v>1948</v>
      </c>
      <c r="BO48">
        <v>1939</v>
      </c>
      <c r="BP48">
        <v>1920</v>
      </c>
      <c r="BQ48">
        <v>1905</v>
      </c>
      <c r="BR48">
        <v>1886</v>
      </c>
      <c r="BS48">
        <v>1884</v>
      </c>
      <c r="BT48">
        <v>1882</v>
      </c>
      <c r="BU48">
        <v>1883</v>
      </c>
      <c r="BV48">
        <v>1910</v>
      </c>
      <c r="BW48">
        <v>1929</v>
      </c>
      <c r="BX48">
        <v>1941</v>
      </c>
      <c r="BY48">
        <v>0</v>
      </c>
      <c r="BZ48">
        <v>0</v>
      </c>
      <c r="CA48">
        <v>0</v>
      </c>
    </row>
    <row r="49" spans="1:79" x14ac:dyDescent="0.5">
      <c r="A49">
        <v>0</v>
      </c>
      <c r="B49">
        <v>0</v>
      </c>
      <c r="C49">
        <v>0</v>
      </c>
      <c r="D49">
        <v>2494</v>
      </c>
      <c r="E49">
        <v>2478</v>
      </c>
      <c r="F49">
        <v>2457</v>
      </c>
      <c r="G49">
        <v>2415</v>
      </c>
      <c r="H49">
        <v>2385</v>
      </c>
      <c r="I49">
        <v>2356</v>
      </c>
      <c r="J49">
        <v>2333</v>
      </c>
      <c r="K49">
        <v>2311</v>
      </c>
      <c r="L49">
        <v>2295</v>
      </c>
      <c r="M49">
        <v>2294</v>
      </c>
      <c r="N49">
        <v>2291</v>
      </c>
      <c r="O49">
        <v>2286</v>
      </c>
      <c r="P49">
        <v>2291</v>
      </c>
      <c r="Q49">
        <v>2295</v>
      </c>
      <c r="R49">
        <v>2298</v>
      </c>
      <c r="S49">
        <v>2300</v>
      </c>
      <c r="T49">
        <v>2283</v>
      </c>
      <c r="U49">
        <v>2261</v>
      </c>
      <c r="V49">
        <v>2243</v>
      </c>
      <c r="W49">
        <v>2226</v>
      </c>
      <c r="X49">
        <v>2205</v>
      </c>
      <c r="Y49">
        <v>2190</v>
      </c>
      <c r="Z49">
        <v>2171</v>
      </c>
      <c r="AA49">
        <v>2160</v>
      </c>
      <c r="AB49">
        <v>2145</v>
      </c>
      <c r="AC49">
        <v>2133</v>
      </c>
      <c r="AD49">
        <v>2119</v>
      </c>
      <c r="AE49">
        <v>2105</v>
      </c>
      <c r="AF49">
        <v>2095</v>
      </c>
      <c r="AG49">
        <v>2083</v>
      </c>
      <c r="AH49">
        <v>2080</v>
      </c>
      <c r="AI49">
        <v>2079</v>
      </c>
      <c r="AJ49">
        <v>2078</v>
      </c>
      <c r="AK49">
        <v>2064</v>
      </c>
      <c r="AL49">
        <v>2051</v>
      </c>
      <c r="AM49">
        <v>2055</v>
      </c>
      <c r="AN49">
        <v>2063</v>
      </c>
      <c r="AO49">
        <v>2073</v>
      </c>
      <c r="AP49">
        <v>2080</v>
      </c>
      <c r="AQ49">
        <v>2083</v>
      </c>
      <c r="AR49">
        <v>2078</v>
      </c>
      <c r="AS49">
        <v>2065</v>
      </c>
      <c r="AT49">
        <v>2047</v>
      </c>
      <c r="AU49">
        <v>2039</v>
      </c>
      <c r="AV49">
        <v>2053</v>
      </c>
      <c r="AW49">
        <v>2069</v>
      </c>
      <c r="AX49">
        <v>2091</v>
      </c>
      <c r="AY49">
        <v>2111</v>
      </c>
      <c r="AZ49">
        <v>2127</v>
      </c>
      <c r="BA49">
        <v>2118</v>
      </c>
      <c r="BB49">
        <v>2101</v>
      </c>
      <c r="BC49">
        <v>2083</v>
      </c>
      <c r="BD49">
        <v>2056</v>
      </c>
      <c r="BE49">
        <v>2026</v>
      </c>
      <c r="BF49">
        <v>2000</v>
      </c>
      <c r="BG49">
        <v>1982</v>
      </c>
      <c r="BH49">
        <v>1970</v>
      </c>
      <c r="BI49">
        <v>1972</v>
      </c>
      <c r="BJ49">
        <v>1976</v>
      </c>
      <c r="BK49">
        <v>1978</v>
      </c>
      <c r="BL49">
        <v>1975</v>
      </c>
      <c r="BM49">
        <v>1960</v>
      </c>
      <c r="BN49">
        <v>1951</v>
      </c>
      <c r="BO49">
        <v>1944</v>
      </c>
      <c r="BP49">
        <v>1937</v>
      </c>
      <c r="BQ49">
        <v>1929</v>
      </c>
      <c r="BR49">
        <v>1911</v>
      </c>
      <c r="BS49">
        <v>1887</v>
      </c>
      <c r="BT49">
        <v>1886</v>
      </c>
      <c r="BU49">
        <v>1887</v>
      </c>
      <c r="BV49">
        <v>1914</v>
      </c>
      <c r="BW49">
        <v>1935</v>
      </c>
      <c r="BX49">
        <v>1943</v>
      </c>
      <c r="BY49">
        <v>0</v>
      </c>
      <c r="BZ49">
        <v>0</v>
      </c>
      <c r="CA49">
        <v>0</v>
      </c>
    </row>
    <row r="50" spans="1:79" x14ac:dyDescent="0.5">
      <c r="A50">
        <v>0</v>
      </c>
      <c r="B50">
        <v>0</v>
      </c>
      <c r="C50">
        <v>0</v>
      </c>
      <c r="D50">
        <v>2502</v>
      </c>
      <c r="E50">
        <v>2485</v>
      </c>
      <c r="F50">
        <v>2449</v>
      </c>
      <c r="G50">
        <v>2412</v>
      </c>
      <c r="H50">
        <v>2381</v>
      </c>
      <c r="I50">
        <v>2346</v>
      </c>
      <c r="J50">
        <v>2331</v>
      </c>
      <c r="K50">
        <v>2322</v>
      </c>
      <c r="L50">
        <v>2305</v>
      </c>
      <c r="M50">
        <v>2309</v>
      </c>
      <c r="N50">
        <v>2307</v>
      </c>
      <c r="O50">
        <v>2307</v>
      </c>
      <c r="P50">
        <v>2312</v>
      </c>
      <c r="Q50">
        <v>2311</v>
      </c>
      <c r="R50">
        <v>2303</v>
      </c>
      <c r="S50">
        <v>2288</v>
      </c>
      <c r="T50">
        <v>2270</v>
      </c>
      <c r="U50">
        <v>2253</v>
      </c>
      <c r="V50">
        <v>2237</v>
      </c>
      <c r="W50">
        <v>2222</v>
      </c>
      <c r="X50">
        <v>2204</v>
      </c>
      <c r="Y50">
        <v>2191</v>
      </c>
      <c r="Z50">
        <v>2178</v>
      </c>
      <c r="AA50">
        <v>2167</v>
      </c>
      <c r="AB50">
        <v>2156</v>
      </c>
      <c r="AC50">
        <v>2141</v>
      </c>
      <c r="AD50">
        <v>2125</v>
      </c>
      <c r="AE50">
        <v>2110</v>
      </c>
      <c r="AF50">
        <v>2101</v>
      </c>
      <c r="AG50">
        <v>2092</v>
      </c>
      <c r="AH50">
        <v>2087</v>
      </c>
      <c r="AI50">
        <v>2084</v>
      </c>
      <c r="AJ50">
        <v>2080</v>
      </c>
      <c r="AK50">
        <v>2068</v>
      </c>
      <c r="AL50">
        <v>2057</v>
      </c>
      <c r="AM50">
        <v>2055</v>
      </c>
      <c r="AN50">
        <v>2064</v>
      </c>
      <c r="AO50">
        <v>2075</v>
      </c>
      <c r="AP50">
        <v>2084</v>
      </c>
      <c r="AQ50">
        <v>2091</v>
      </c>
      <c r="AR50">
        <v>2092</v>
      </c>
      <c r="AS50">
        <v>2086</v>
      </c>
      <c r="AT50">
        <v>2062</v>
      </c>
      <c r="AU50">
        <v>2047</v>
      </c>
      <c r="AV50">
        <v>2048</v>
      </c>
      <c r="AW50">
        <v>2063</v>
      </c>
      <c r="AX50">
        <v>2088</v>
      </c>
      <c r="AY50">
        <v>2116</v>
      </c>
      <c r="AZ50">
        <v>2136</v>
      </c>
      <c r="BA50">
        <v>2136</v>
      </c>
      <c r="BB50">
        <v>2120</v>
      </c>
      <c r="BC50">
        <v>2097</v>
      </c>
      <c r="BD50">
        <v>2074</v>
      </c>
      <c r="BE50">
        <v>2042</v>
      </c>
      <c r="BF50">
        <v>2018</v>
      </c>
      <c r="BG50">
        <v>1998</v>
      </c>
      <c r="BH50">
        <v>1983</v>
      </c>
      <c r="BI50">
        <v>1978</v>
      </c>
      <c r="BJ50">
        <v>1984</v>
      </c>
      <c r="BK50">
        <v>1992</v>
      </c>
      <c r="BL50">
        <v>1989</v>
      </c>
      <c r="BM50">
        <v>1972</v>
      </c>
      <c r="BN50">
        <v>1958</v>
      </c>
      <c r="BO50">
        <v>1949</v>
      </c>
      <c r="BP50">
        <v>1942</v>
      </c>
      <c r="BQ50">
        <v>1935</v>
      </c>
      <c r="BR50">
        <v>1931</v>
      </c>
      <c r="BS50">
        <v>1915</v>
      </c>
      <c r="BT50">
        <v>1905</v>
      </c>
      <c r="BU50">
        <v>1915</v>
      </c>
      <c r="BV50">
        <v>1920</v>
      </c>
      <c r="BW50">
        <v>1942</v>
      </c>
      <c r="BX50">
        <v>1949</v>
      </c>
      <c r="BY50">
        <v>0</v>
      </c>
      <c r="BZ50">
        <v>0</v>
      </c>
      <c r="CA50">
        <v>0</v>
      </c>
    </row>
    <row r="51" spans="1:79" x14ac:dyDescent="0.5">
      <c r="A51">
        <v>0</v>
      </c>
      <c r="B51">
        <v>0</v>
      </c>
      <c r="C51">
        <v>0</v>
      </c>
      <c r="D51">
        <v>2502</v>
      </c>
      <c r="E51">
        <v>2478</v>
      </c>
      <c r="F51">
        <v>2437</v>
      </c>
      <c r="G51">
        <v>2407</v>
      </c>
      <c r="H51">
        <v>2375</v>
      </c>
      <c r="I51">
        <v>2338</v>
      </c>
      <c r="J51">
        <v>2327</v>
      </c>
      <c r="K51">
        <v>2317</v>
      </c>
      <c r="L51">
        <v>2322</v>
      </c>
      <c r="M51">
        <v>2333</v>
      </c>
      <c r="N51">
        <v>2331</v>
      </c>
      <c r="O51">
        <v>2336</v>
      </c>
      <c r="P51">
        <v>2336</v>
      </c>
      <c r="Q51">
        <v>2320</v>
      </c>
      <c r="R51">
        <v>2293</v>
      </c>
      <c r="S51">
        <v>2274</v>
      </c>
      <c r="T51">
        <v>2260</v>
      </c>
      <c r="U51">
        <v>2248</v>
      </c>
      <c r="V51">
        <v>2237</v>
      </c>
      <c r="W51">
        <v>2224</v>
      </c>
      <c r="X51">
        <v>2211</v>
      </c>
      <c r="Y51">
        <v>2202</v>
      </c>
      <c r="Z51">
        <v>2186</v>
      </c>
      <c r="AA51">
        <v>2170</v>
      </c>
      <c r="AB51">
        <v>2158</v>
      </c>
      <c r="AC51">
        <v>2147</v>
      </c>
      <c r="AD51">
        <v>2131</v>
      </c>
      <c r="AE51">
        <v>2117</v>
      </c>
      <c r="AF51">
        <v>2106</v>
      </c>
      <c r="AG51">
        <v>2097</v>
      </c>
      <c r="AH51">
        <v>2091</v>
      </c>
      <c r="AI51">
        <v>2085</v>
      </c>
      <c r="AJ51">
        <v>2079</v>
      </c>
      <c r="AK51">
        <v>2067</v>
      </c>
      <c r="AL51">
        <v>2059</v>
      </c>
      <c r="AM51">
        <v>2058</v>
      </c>
      <c r="AN51">
        <v>2064</v>
      </c>
      <c r="AO51">
        <v>2075</v>
      </c>
      <c r="AP51">
        <v>2086</v>
      </c>
      <c r="AQ51">
        <v>2094</v>
      </c>
      <c r="AR51">
        <v>2099</v>
      </c>
      <c r="AS51">
        <v>2098</v>
      </c>
      <c r="AT51">
        <v>2080</v>
      </c>
      <c r="AU51">
        <v>2055</v>
      </c>
      <c r="AV51">
        <v>2047</v>
      </c>
      <c r="AW51">
        <v>2052</v>
      </c>
      <c r="AX51">
        <v>2079</v>
      </c>
      <c r="AY51">
        <v>2109</v>
      </c>
      <c r="AZ51">
        <v>2135</v>
      </c>
      <c r="BA51">
        <v>2152</v>
      </c>
      <c r="BB51">
        <v>2137</v>
      </c>
      <c r="BC51">
        <v>2111</v>
      </c>
      <c r="BD51">
        <v>2086</v>
      </c>
      <c r="BE51">
        <v>2058</v>
      </c>
      <c r="BF51">
        <v>2032</v>
      </c>
      <c r="BG51">
        <v>2011</v>
      </c>
      <c r="BH51">
        <v>2001</v>
      </c>
      <c r="BI51">
        <v>1987</v>
      </c>
      <c r="BJ51">
        <v>1991</v>
      </c>
      <c r="BK51">
        <v>2000</v>
      </c>
      <c r="BL51">
        <v>2003</v>
      </c>
      <c r="BM51">
        <v>1990</v>
      </c>
      <c r="BN51">
        <v>1969</v>
      </c>
      <c r="BO51">
        <v>1954</v>
      </c>
      <c r="BP51">
        <v>1948</v>
      </c>
      <c r="BQ51">
        <v>1942</v>
      </c>
      <c r="BR51">
        <v>1944</v>
      </c>
      <c r="BS51">
        <v>1939</v>
      </c>
      <c r="BT51">
        <v>1928</v>
      </c>
      <c r="BU51">
        <v>1935</v>
      </c>
      <c r="BV51">
        <v>1944</v>
      </c>
      <c r="BW51">
        <v>1950</v>
      </c>
      <c r="BX51">
        <v>1956</v>
      </c>
      <c r="BY51">
        <v>0</v>
      </c>
      <c r="BZ51">
        <v>0</v>
      </c>
      <c r="CA51">
        <v>0</v>
      </c>
    </row>
    <row r="52" spans="1:79" x14ac:dyDescent="0.5">
      <c r="A52">
        <v>0</v>
      </c>
      <c r="B52">
        <v>0</v>
      </c>
      <c r="C52">
        <v>2508</v>
      </c>
      <c r="D52">
        <v>2495</v>
      </c>
      <c r="E52">
        <v>2466</v>
      </c>
      <c r="F52">
        <v>2425</v>
      </c>
      <c r="G52">
        <v>2395</v>
      </c>
      <c r="H52">
        <v>2368</v>
      </c>
      <c r="I52">
        <v>2341</v>
      </c>
      <c r="J52">
        <v>2327.1</v>
      </c>
      <c r="K52">
        <v>2333</v>
      </c>
      <c r="L52">
        <v>2341</v>
      </c>
      <c r="M52">
        <v>2350</v>
      </c>
      <c r="N52">
        <v>2356</v>
      </c>
      <c r="O52">
        <v>2358</v>
      </c>
      <c r="P52">
        <v>2352</v>
      </c>
      <c r="Q52">
        <v>2338</v>
      </c>
      <c r="R52">
        <v>2312</v>
      </c>
      <c r="S52">
        <v>2294</v>
      </c>
      <c r="T52">
        <v>2273</v>
      </c>
      <c r="U52">
        <v>2255</v>
      </c>
      <c r="V52">
        <v>2243</v>
      </c>
      <c r="W52">
        <v>2233</v>
      </c>
      <c r="X52">
        <v>2220</v>
      </c>
      <c r="Y52">
        <v>2209</v>
      </c>
      <c r="Z52">
        <v>2194</v>
      </c>
      <c r="AA52">
        <v>2175</v>
      </c>
      <c r="AB52">
        <v>2160</v>
      </c>
      <c r="AC52">
        <v>2147</v>
      </c>
      <c r="AD52">
        <v>2136</v>
      </c>
      <c r="AE52">
        <v>2124</v>
      </c>
      <c r="AF52">
        <v>2110</v>
      </c>
      <c r="AG52">
        <v>2100</v>
      </c>
      <c r="AH52">
        <v>2092</v>
      </c>
      <c r="AI52">
        <v>2084</v>
      </c>
      <c r="AJ52">
        <v>2076</v>
      </c>
      <c r="AK52">
        <v>2067</v>
      </c>
      <c r="AL52">
        <v>2059</v>
      </c>
      <c r="AM52">
        <v>2060</v>
      </c>
      <c r="AN52">
        <v>2064</v>
      </c>
      <c r="AO52">
        <v>2074</v>
      </c>
      <c r="AP52">
        <v>2085</v>
      </c>
      <c r="AQ52">
        <v>2096</v>
      </c>
      <c r="AR52">
        <v>2102</v>
      </c>
      <c r="AS52">
        <v>2107</v>
      </c>
      <c r="AT52">
        <v>2099</v>
      </c>
      <c r="AU52">
        <v>2076</v>
      </c>
      <c r="AV52">
        <v>2055</v>
      </c>
      <c r="AW52">
        <v>2051</v>
      </c>
      <c r="AX52">
        <v>2066</v>
      </c>
      <c r="AY52">
        <v>2099</v>
      </c>
      <c r="AZ52">
        <v>2131</v>
      </c>
      <c r="BA52">
        <v>2151</v>
      </c>
      <c r="BB52">
        <v>2148</v>
      </c>
      <c r="BC52">
        <v>2128</v>
      </c>
      <c r="BD52">
        <v>2101</v>
      </c>
      <c r="BE52">
        <v>2068</v>
      </c>
      <c r="BF52">
        <v>2044</v>
      </c>
      <c r="BG52">
        <v>2024</v>
      </c>
      <c r="BH52">
        <v>2011</v>
      </c>
      <c r="BI52">
        <v>2001</v>
      </c>
      <c r="BJ52">
        <v>2002</v>
      </c>
      <c r="BK52">
        <v>2007</v>
      </c>
      <c r="BL52">
        <v>2009</v>
      </c>
      <c r="BM52">
        <v>2004</v>
      </c>
      <c r="BN52">
        <v>1983</v>
      </c>
      <c r="BO52">
        <v>1964</v>
      </c>
      <c r="BP52">
        <v>1956</v>
      </c>
      <c r="BQ52">
        <v>1957</v>
      </c>
      <c r="BR52">
        <v>1957</v>
      </c>
      <c r="BS52">
        <v>1953</v>
      </c>
      <c r="BT52">
        <v>1938</v>
      </c>
      <c r="BU52">
        <v>1940</v>
      </c>
      <c r="BV52">
        <v>1954</v>
      </c>
      <c r="BW52">
        <v>1961</v>
      </c>
      <c r="BX52">
        <v>1967</v>
      </c>
      <c r="BY52">
        <v>0</v>
      </c>
      <c r="BZ52">
        <v>0</v>
      </c>
      <c r="CA52">
        <v>0</v>
      </c>
    </row>
    <row r="53" spans="1:79" x14ac:dyDescent="0.5">
      <c r="A53">
        <v>0</v>
      </c>
      <c r="B53">
        <v>0</v>
      </c>
      <c r="C53">
        <v>2514</v>
      </c>
      <c r="D53">
        <v>2494</v>
      </c>
      <c r="E53">
        <v>2456</v>
      </c>
      <c r="F53">
        <v>2421</v>
      </c>
      <c r="G53">
        <v>2392</v>
      </c>
      <c r="H53">
        <v>2359</v>
      </c>
      <c r="I53">
        <v>2345</v>
      </c>
      <c r="J53">
        <v>2339</v>
      </c>
      <c r="K53">
        <v>2349</v>
      </c>
      <c r="L53">
        <v>2356</v>
      </c>
      <c r="M53">
        <v>2368</v>
      </c>
      <c r="N53">
        <v>2374</v>
      </c>
      <c r="O53">
        <v>2375</v>
      </c>
      <c r="P53">
        <v>2372</v>
      </c>
      <c r="Q53">
        <v>2362</v>
      </c>
      <c r="R53">
        <v>2342</v>
      </c>
      <c r="S53">
        <v>2314</v>
      </c>
      <c r="T53">
        <v>2293</v>
      </c>
      <c r="U53">
        <v>2274</v>
      </c>
      <c r="V53">
        <v>2255</v>
      </c>
      <c r="W53">
        <v>2243</v>
      </c>
      <c r="X53">
        <v>2232</v>
      </c>
      <c r="Y53">
        <v>2223</v>
      </c>
      <c r="Z53">
        <v>2207</v>
      </c>
      <c r="AA53">
        <v>2185</v>
      </c>
      <c r="AB53">
        <v>2166</v>
      </c>
      <c r="AC53">
        <v>2148</v>
      </c>
      <c r="AD53">
        <v>2135</v>
      </c>
      <c r="AE53">
        <v>2124</v>
      </c>
      <c r="AF53">
        <v>2113</v>
      </c>
      <c r="AG53">
        <v>2102</v>
      </c>
      <c r="AH53">
        <v>2093</v>
      </c>
      <c r="AI53">
        <v>2084</v>
      </c>
      <c r="AJ53">
        <v>2075</v>
      </c>
      <c r="AK53">
        <v>2069</v>
      </c>
      <c r="AL53">
        <v>2062</v>
      </c>
      <c r="AM53">
        <v>2062</v>
      </c>
      <c r="AN53">
        <v>2068</v>
      </c>
      <c r="AO53">
        <v>2078</v>
      </c>
      <c r="AP53">
        <v>2092</v>
      </c>
      <c r="AQ53">
        <v>2102</v>
      </c>
      <c r="AR53">
        <v>2113</v>
      </c>
      <c r="AS53">
        <v>2119</v>
      </c>
      <c r="AT53">
        <v>2118</v>
      </c>
      <c r="AU53">
        <v>2097</v>
      </c>
      <c r="AV53">
        <v>2071</v>
      </c>
      <c r="AW53">
        <v>2064</v>
      </c>
      <c r="AX53">
        <v>2066</v>
      </c>
      <c r="AY53">
        <v>2094</v>
      </c>
      <c r="AZ53">
        <v>2123</v>
      </c>
      <c r="BA53">
        <v>2149</v>
      </c>
      <c r="BB53">
        <v>2155</v>
      </c>
      <c r="BC53">
        <v>2136</v>
      </c>
      <c r="BD53">
        <v>2107</v>
      </c>
      <c r="BE53">
        <v>2080</v>
      </c>
      <c r="BF53">
        <v>2054</v>
      </c>
      <c r="BG53">
        <v>2033</v>
      </c>
      <c r="BH53">
        <v>2020</v>
      </c>
      <c r="BI53">
        <v>2015</v>
      </c>
      <c r="BJ53">
        <v>2013</v>
      </c>
      <c r="BK53">
        <v>2013</v>
      </c>
      <c r="BL53">
        <v>2013</v>
      </c>
      <c r="BM53">
        <v>2006</v>
      </c>
      <c r="BN53">
        <v>1989</v>
      </c>
      <c r="BO53">
        <v>1973</v>
      </c>
      <c r="BP53">
        <v>1966</v>
      </c>
      <c r="BQ53">
        <v>1967</v>
      </c>
      <c r="BR53">
        <v>1969</v>
      </c>
      <c r="BS53">
        <v>1966</v>
      </c>
      <c r="BT53">
        <v>1955</v>
      </c>
      <c r="BU53">
        <v>1947</v>
      </c>
      <c r="BV53">
        <v>1963</v>
      </c>
      <c r="BW53">
        <v>1980</v>
      </c>
      <c r="BX53">
        <v>1983</v>
      </c>
      <c r="BY53">
        <v>1992</v>
      </c>
      <c r="BZ53">
        <v>0</v>
      </c>
      <c r="CA53">
        <v>0</v>
      </c>
    </row>
    <row r="54" spans="1:79" x14ac:dyDescent="0.5">
      <c r="A54">
        <v>0</v>
      </c>
      <c r="B54">
        <v>0</v>
      </c>
      <c r="C54">
        <v>2517</v>
      </c>
      <c r="D54">
        <v>2486</v>
      </c>
      <c r="E54">
        <v>2443</v>
      </c>
      <c r="F54">
        <v>2416</v>
      </c>
      <c r="G54">
        <v>2399</v>
      </c>
      <c r="H54">
        <v>2382</v>
      </c>
      <c r="I54">
        <v>2359</v>
      </c>
      <c r="J54">
        <v>2359</v>
      </c>
      <c r="K54">
        <v>2363</v>
      </c>
      <c r="L54">
        <v>2370</v>
      </c>
      <c r="M54">
        <v>2382</v>
      </c>
      <c r="N54">
        <v>2387</v>
      </c>
      <c r="O54">
        <v>2389</v>
      </c>
      <c r="P54">
        <v>2395</v>
      </c>
      <c r="Q54">
        <v>2390</v>
      </c>
      <c r="R54">
        <v>2363</v>
      </c>
      <c r="S54">
        <v>2339</v>
      </c>
      <c r="T54">
        <v>2318</v>
      </c>
      <c r="U54">
        <v>2291</v>
      </c>
      <c r="V54">
        <v>2271</v>
      </c>
      <c r="W54">
        <v>2257</v>
      </c>
      <c r="X54">
        <v>2245</v>
      </c>
      <c r="Y54">
        <v>2236</v>
      </c>
      <c r="Z54">
        <v>2219</v>
      </c>
      <c r="AA54">
        <v>2195</v>
      </c>
      <c r="AB54">
        <v>2175</v>
      </c>
      <c r="AC54">
        <v>2155</v>
      </c>
      <c r="AD54">
        <v>2136</v>
      </c>
      <c r="AE54">
        <v>2122</v>
      </c>
      <c r="AF54">
        <v>2113</v>
      </c>
      <c r="AG54">
        <v>2101</v>
      </c>
      <c r="AH54">
        <v>2092</v>
      </c>
      <c r="AI54">
        <v>2083</v>
      </c>
      <c r="AJ54">
        <v>2075</v>
      </c>
      <c r="AK54">
        <v>2071</v>
      </c>
      <c r="AL54">
        <v>2065</v>
      </c>
      <c r="AM54">
        <v>2067</v>
      </c>
      <c r="AN54">
        <v>2077</v>
      </c>
      <c r="AO54">
        <v>2091</v>
      </c>
      <c r="AP54">
        <v>2103</v>
      </c>
      <c r="AQ54">
        <v>2120</v>
      </c>
      <c r="AR54">
        <v>2132</v>
      </c>
      <c r="AS54">
        <v>2143</v>
      </c>
      <c r="AT54">
        <v>2143</v>
      </c>
      <c r="AU54">
        <v>2118</v>
      </c>
      <c r="AV54">
        <v>2091</v>
      </c>
      <c r="AW54">
        <v>2082</v>
      </c>
      <c r="AX54">
        <v>2074</v>
      </c>
      <c r="AY54">
        <v>2089</v>
      </c>
      <c r="AZ54">
        <v>2120</v>
      </c>
      <c r="BA54">
        <v>2146</v>
      </c>
      <c r="BB54">
        <v>2158</v>
      </c>
      <c r="BC54">
        <v>2145</v>
      </c>
      <c r="BD54">
        <v>2114</v>
      </c>
      <c r="BE54">
        <v>2089</v>
      </c>
      <c r="BF54">
        <v>2067</v>
      </c>
      <c r="BG54">
        <v>2044</v>
      </c>
      <c r="BH54">
        <v>2030</v>
      </c>
      <c r="BI54">
        <v>2025</v>
      </c>
      <c r="BJ54">
        <v>2026</v>
      </c>
      <c r="BK54">
        <v>2023</v>
      </c>
      <c r="BL54">
        <v>2020</v>
      </c>
      <c r="BM54">
        <v>2016</v>
      </c>
      <c r="BN54">
        <v>1998</v>
      </c>
      <c r="BO54">
        <v>1983</v>
      </c>
      <c r="BP54">
        <v>1976</v>
      </c>
      <c r="BQ54">
        <v>1980</v>
      </c>
      <c r="BR54">
        <v>1983</v>
      </c>
      <c r="BS54">
        <v>1984</v>
      </c>
      <c r="BT54">
        <v>1972</v>
      </c>
      <c r="BU54">
        <v>1959</v>
      </c>
      <c r="BV54">
        <v>1967</v>
      </c>
      <c r="BW54">
        <v>1983</v>
      </c>
      <c r="BX54">
        <v>1991</v>
      </c>
      <c r="BY54">
        <v>1996</v>
      </c>
      <c r="BZ54">
        <v>0</v>
      </c>
      <c r="CA54">
        <v>0</v>
      </c>
    </row>
    <row r="55" spans="1:79" x14ac:dyDescent="0.5">
      <c r="A55">
        <v>0</v>
      </c>
      <c r="B55">
        <v>2544</v>
      </c>
      <c r="C55">
        <v>2516</v>
      </c>
      <c r="D55">
        <v>2487</v>
      </c>
      <c r="E55">
        <v>2463</v>
      </c>
      <c r="F55">
        <v>2438</v>
      </c>
      <c r="G55">
        <v>2413</v>
      </c>
      <c r="H55">
        <v>2395</v>
      </c>
      <c r="I55">
        <v>2371</v>
      </c>
      <c r="J55">
        <v>2377</v>
      </c>
      <c r="K55">
        <v>2375</v>
      </c>
      <c r="L55">
        <v>2386</v>
      </c>
      <c r="M55">
        <v>2394</v>
      </c>
      <c r="N55">
        <v>2399</v>
      </c>
      <c r="O55">
        <v>2403</v>
      </c>
      <c r="P55">
        <v>2409</v>
      </c>
      <c r="Q55">
        <v>2411</v>
      </c>
      <c r="R55">
        <v>2383</v>
      </c>
      <c r="S55">
        <v>2358</v>
      </c>
      <c r="T55">
        <v>2337</v>
      </c>
      <c r="U55">
        <v>2310</v>
      </c>
      <c r="V55">
        <v>2287</v>
      </c>
      <c r="W55">
        <v>2269</v>
      </c>
      <c r="X55">
        <v>2255</v>
      </c>
      <c r="Y55">
        <v>2243</v>
      </c>
      <c r="Z55">
        <v>2227</v>
      </c>
      <c r="AA55">
        <v>2205</v>
      </c>
      <c r="AB55">
        <v>2184</v>
      </c>
      <c r="AC55">
        <v>2162</v>
      </c>
      <c r="AD55">
        <v>2139</v>
      </c>
      <c r="AE55">
        <v>2124</v>
      </c>
      <c r="AF55">
        <v>2112</v>
      </c>
      <c r="AG55">
        <v>2101</v>
      </c>
      <c r="AH55">
        <v>2091</v>
      </c>
      <c r="AI55">
        <v>2083</v>
      </c>
      <c r="AJ55">
        <v>2076</v>
      </c>
      <c r="AK55">
        <v>2073</v>
      </c>
      <c r="AL55">
        <v>2068</v>
      </c>
      <c r="AM55">
        <v>2074</v>
      </c>
      <c r="AN55">
        <v>2087</v>
      </c>
      <c r="AO55">
        <v>2102</v>
      </c>
      <c r="AP55">
        <v>2119</v>
      </c>
      <c r="AQ55">
        <v>2137</v>
      </c>
      <c r="AR55">
        <v>2153</v>
      </c>
      <c r="AS55">
        <v>2165</v>
      </c>
      <c r="AT55">
        <v>2166</v>
      </c>
      <c r="AU55">
        <v>2135</v>
      </c>
      <c r="AV55">
        <v>2110</v>
      </c>
      <c r="AW55">
        <v>2096</v>
      </c>
      <c r="AX55">
        <v>2089</v>
      </c>
      <c r="AY55">
        <v>2095</v>
      </c>
      <c r="AZ55">
        <v>2117</v>
      </c>
      <c r="BA55">
        <v>2142</v>
      </c>
      <c r="BB55">
        <v>2162</v>
      </c>
      <c r="BC55">
        <v>2155</v>
      </c>
      <c r="BD55">
        <v>2124</v>
      </c>
      <c r="BE55">
        <v>2099</v>
      </c>
      <c r="BF55">
        <v>2083</v>
      </c>
      <c r="BG55">
        <v>2064</v>
      </c>
      <c r="BH55">
        <v>2042</v>
      </c>
      <c r="BI55">
        <v>2038</v>
      </c>
      <c r="BJ55">
        <v>2036</v>
      </c>
      <c r="BK55">
        <v>2034</v>
      </c>
      <c r="BL55">
        <v>2028</v>
      </c>
      <c r="BM55">
        <v>2021</v>
      </c>
      <c r="BN55">
        <v>2008</v>
      </c>
      <c r="BO55">
        <v>1997</v>
      </c>
      <c r="BP55">
        <v>1988</v>
      </c>
      <c r="BQ55">
        <v>1992</v>
      </c>
      <c r="BR55">
        <v>1997</v>
      </c>
      <c r="BS55">
        <v>1998</v>
      </c>
      <c r="BT55">
        <v>1996</v>
      </c>
      <c r="BU55">
        <v>1971</v>
      </c>
      <c r="BV55">
        <v>1978</v>
      </c>
      <c r="BW55">
        <v>1988</v>
      </c>
      <c r="BX55">
        <v>1995</v>
      </c>
      <c r="BY55">
        <v>2002</v>
      </c>
      <c r="BZ55">
        <v>0</v>
      </c>
      <c r="CA55">
        <v>0</v>
      </c>
    </row>
    <row r="56" spans="1:79" x14ac:dyDescent="0.5">
      <c r="A56">
        <v>0</v>
      </c>
      <c r="B56">
        <v>2539</v>
      </c>
      <c r="C56">
        <v>2505</v>
      </c>
      <c r="D56">
        <v>2475</v>
      </c>
      <c r="E56">
        <v>2465</v>
      </c>
      <c r="F56">
        <v>2455</v>
      </c>
      <c r="G56">
        <v>2434</v>
      </c>
      <c r="H56">
        <v>2405</v>
      </c>
      <c r="I56">
        <v>2396</v>
      </c>
      <c r="J56">
        <v>2386</v>
      </c>
      <c r="K56">
        <v>2383</v>
      </c>
      <c r="L56">
        <v>2399</v>
      </c>
      <c r="M56">
        <v>2408</v>
      </c>
      <c r="N56">
        <v>2409</v>
      </c>
      <c r="O56">
        <v>2414</v>
      </c>
      <c r="P56">
        <v>2422</v>
      </c>
      <c r="Q56">
        <v>2423</v>
      </c>
      <c r="R56">
        <v>2401</v>
      </c>
      <c r="S56">
        <v>2380</v>
      </c>
      <c r="T56">
        <v>2358</v>
      </c>
      <c r="U56">
        <v>2335</v>
      </c>
      <c r="V56">
        <v>2308</v>
      </c>
      <c r="W56">
        <v>2284</v>
      </c>
      <c r="X56">
        <v>2267</v>
      </c>
      <c r="Y56">
        <v>2250</v>
      </c>
      <c r="Z56">
        <v>2236</v>
      </c>
      <c r="AA56">
        <v>2215</v>
      </c>
      <c r="AB56">
        <v>2193</v>
      </c>
      <c r="AC56">
        <v>2168</v>
      </c>
      <c r="AD56">
        <v>2142</v>
      </c>
      <c r="AE56">
        <v>2129</v>
      </c>
      <c r="AF56">
        <v>2116</v>
      </c>
      <c r="AG56">
        <v>2102</v>
      </c>
      <c r="AH56">
        <v>2091</v>
      </c>
      <c r="AI56">
        <v>2085</v>
      </c>
      <c r="AJ56">
        <v>2080</v>
      </c>
      <c r="AK56">
        <v>2076</v>
      </c>
      <c r="AL56">
        <v>2073</v>
      </c>
      <c r="AM56">
        <v>2080</v>
      </c>
      <c r="AN56">
        <v>2094</v>
      </c>
      <c r="AO56">
        <v>2112</v>
      </c>
      <c r="AP56">
        <v>2131</v>
      </c>
      <c r="AQ56">
        <v>2152</v>
      </c>
      <c r="AR56">
        <v>2169</v>
      </c>
      <c r="AS56">
        <v>2184</v>
      </c>
      <c r="AT56">
        <v>2184</v>
      </c>
      <c r="AU56">
        <v>2149</v>
      </c>
      <c r="AV56">
        <v>2128</v>
      </c>
      <c r="AW56">
        <v>2112</v>
      </c>
      <c r="AX56">
        <v>2105</v>
      </c>
      <c r="AY56">
        <v>2100</v>
      </c>
      <c r="AZ56">
        <v>2113</v>
      </c>
      <c r="BA56">
        <v>2141</v>
      </c>
      <c r="BB56">
        <v>2164</v>
      </c>
      <c r="BC56">
        <v>2162</v>
      </c>
      <c r="BD56">
        <v>2132</v>
      </c>
      <c r="BE56">
        <v>2112</v>
      </c>
      <c r="BF56">
        <v>2094</v>
      </c>
      <c r="BG56">
        <v>2076</v>
      </c>
      <c r="BH56">
        <v>2058</v>
      </c>
      <c r="BI56">
        <v>2048</v>
      </c>
      <c r="BJ56">
        <v>2049</v>
      </c>
      <c r="BK56">
        <v>2048</v>
      </c>
      <c r="BL56">
        <v>2038</v>
      </c>
      <c r="BM56">
        <v>2026</v>
      </c>
      <c r="BN56">
        <v>2016</v>
      </c>
      <c r="BO56">
        <v>2006</v>
      </c>
      <c r="BP56">
        <v>2000</v>
      </c>
      <c r="BQ56">
        <v>2002</v>
      </c>
      <c r="BR56">
        <v>2010</v>
      </c>
      <c r="BS56">
        <v>2015</v>
      </c>
      <c r="BT56">
        <v>2010</v>
      </c>
      <c r="BU56">
        <v>1982</v>
      </c>
      <c r="BV56">
        <v>1987</v>
      </c>
      <c r="BW56">
        <v>1999</v>
      </c>
      <c r="BX56">
        <v>2005</v>
      </c>
      <c r="BY56">
        <v>2006</v>
      </c>
      <c r="BZ56">
        <v>0</v>
      </c>
      <c r="CA56">
        <v>0</v>
      </c>
    </row>
    <row r="57" spans="1:79" x14ac:dyDescent="0.5">
      <c r="A57">
        <v>2568</v>
      </c>
      <c r="B57">
        <v>2529</v>
      </c>
      <c r="C57">
        <v>2479</v>
      </c>
      <c r="D57">
        <v>2465</v>
      </c>
      <c r="E57">
        <v>2467</v>
      </c>
      <c r="F57">
        <v>2462</v>
      </c>
      <c r="G57">
        <v>2437</v>
      </c>
      <c r="H57">
        <v>2438</v>
      </c>
      <c r="I57">
        <v>2411</v>
      </c>
      <c r="J57">
        <v>2397</v>
      </c>
      <c r="K57">
        <v>2412</v>
      </c>
      <c r="L57">
        <v>2423</v>
      </c>
      <c r="M57">
        <v>2424</v>
      </c>
      <c r="N57">
        <v>2422</v>
      </c>
      <c r="O57">
        <v>2428</v>
      </c>
      <c r="P57">
        <v>2435</v>
      </c>
      <c r="Q57">
        <v>2436</v>
      </c>
      <c r="R57">
        <v>2421</v>
      </c>
      <c r="S57">
        <v>2404</v>
      </c>
      <c r="T57">
        <v>2380</v>
      </c>
      <c r="U57">
        <v>2353</v>
      </c>
      <c r="V57">
        <v>2331</v>
      </c>
      <c r="W57">
        <v>2299</v>
      </c>
      <c r="X57">
        <v>2280</v>
      </c>
      <c r="Y57">
        <v>2260</v>
      </c>
      <c r="Z57">
        <v>2243</v>
      </c>
      <c r="AA57">
        <v>2225</v>
      </c>
      <c r="AB57">
        <v>2203</v>
      </c>
      <c r="AC57">
        <v>2173</v>
      </c>
      <c r="AD57">
        <v>2151</v>
      </c>
      <c r="AE57">
        <v>2133</v>
      </c>
      <c r="AF57">
        <v>2117</v>
      </c>
      <c r="AG57">
        <v>2104</v>
      </c>
      <c r="AH57">
        <v>2093</v>
      </c>
      <c r="AI57">
        <v>2086</v>
      </c>
      <c r="AJ57">
        <v>2081</v>
      </c>
      <c r="AK57">
        <v>2077</v>
      </c>
      <c r="AL57">
        <v>2078</v>
      </c>
      <c r="AM57">
        <v>2085</v>
      </c>
      <c r="AN57">
        <v>2097</v>
      </c>
      <c r="AO57">
        <v>2112</v>
      </c>
      <c r="AP57">
        <v>2132</v>
      </c>
      <c r="AQ57">
        <v>2156</v>
      </c>
      <c r="AR57">
        <v>2171</v>
      </c>
      <c r="AS57">
        <v>2186</v>
      </c>
      <c r="AT57">
        <v>2193</v>
      </c>
      <c r="AU57">
        <v>2172</v>
      </c>
      <c r="AV57">
        <v>2144</v>
      </c>
      <c r="AW57">
        <v>2128</v>
      </c>
      <c r="AX57">
        <v>2119</v>
      </c>
      <c r="AY57">
        <v>2111</v>
      </c>
      <c r="AZ57">
        <v>2119</v>
      </c>
      <c r="BA57">
        <v>2141</v>
      </c>
      <c r="BB57">
        <v>2168</v>
      </c>
      <c r="BC57">
        <v>2175</v>
      </c>
      <c r="BD57">
        <v>2145</v>
      </c>
      <c r="BE57">
        <v>2125</v>
      </c>
      <c r="BF57">
        <v>2107</v>
      </c>
      <c r="BG57">
        <v>2091</v>
      </c>
      <c r="BH57">
        <v>2076</v>
      </c>
      <c r="BI57">
        <v>2062</v>
      </c>
      <c r="BJ57">
        <v>2067</v>
      </c>
      <c r="BK57">
        <v>2065</v>
      </c>
      <c r="BL57">
        <v>2052</v>
      </c>
      <c r="BM57">
        <v>2036</v>
      </c>
      <c r="BN57">
        <v>2026</v>
      </c>
      <c r="BO57">
        <v>2018</v>
      </c>
      <c r="BP57">
        <v>2010</v>
      </c>
      <c r="BQ57">
        <v>2011</v>
      </c>
      <c r="BR57">
        <v>2018</v>
      </c>
      <c r="BS57">
        <v>2025</v>
      </c>
      <c r="BT57">
        <v>2020</v>
      </c>
      <c r="BU57">
        <v>1993</v>
      </c>
      <c r="BV57">
        <v>2000</v>
      </c>
      <c r="BW57">
        <v>2005</v>
      </c>
      <c r="BX57">
        <v>2009</v>
      </c>
      <c r="BY57">
        <v>2011</v>
      </c>
      <c r="BZ57">
        <v>0</v>
      </c>
      <c r="CA57">
        <v>0</v>
      </c>
    </row>
    <row r="58" spans="1:79" x14ac:dyDescent="0.5">
      <c r="A58">
        <v>2571</v>
      </c>
      <c r="B58">
        <v>2527</v>
      </c>
      <c r="C58">
        <v>2483</v>
      </c>
      <c r="D58">
        <v>2465</v>
      </c>
      <c r="E58">
        <v>2460.1</v>
      </c>
      <c r="F58">
        <v>2460.0100000000002</v>
      </c>
      <c r="G58">
        <v>2460</v>
      </c>
      <c r="H58">
        <v>2456</v>
      </c>
      <c r="I58">
        <v>2422</v>
      </c>
      <c r="J58">
        <v>2424</v>
      </c>
      <c r="K58">
        <v>2434</v>
      </c>
      <c r="L58">
        <v>2443</v>
      </c>
      <c r="M58">
        <v>2444</v>
      </c>
      <c r="N58">
        <v>2435</v>
      </c>
      <c r="O58">
        <v>2440</v>
      </c>
      <c r="P58">
        <v>2446</v>
      </c>
      <c r="Q58">
        <v>2450</v>
      </c>
      <c r="R58">
        <v>2437</v>
      </c>
      <c r="S58">
        <v>2415</v>
      </c>
      <c r="T58">
        <v>2391</v>
      </c>
      <c r="U58">
        <v>2365</v>
      </c>
      <c r="V58">
        <v>2343</v>
      </c>
      <c r="W58">
        <v>2319</v>
      </c>
      <c r="X58">
        <v>2293</v>
      </c>
      <c r="Y58">
        <v>2273</v>
      </c>
      <c r="Z58">
        <v>2253</v>
      </c>
      <c r="AA58">
        <v>2235</v>
      </c>
      <c r="AB58">
        <v>2210</v>
      </c>
      <c r="AC58">
        <v>2182</v>
      </c>
      <c r="AD58">
        <v>2157</v>
      </c>
      <c r="AE58">
        <v>2140</v>
      </c>
      <c r="AF58">
        <v>2122</v>
      </c>
      <c r="AG58">
        <v>2108</v>
      </c>
      <c r="AH58">
        <v>2097</v>
      </c>
      <c r="AI58">
        <v>2088</v>
      </c>
      <c r="AJ58">
        <v>2083</v>
      </c>
      <c r="AK58">
        <v>2080</v>
      </c>
      <c r="AL58">
        <v>2080</v>
      </c>
      <c r="AM58">
        <v>2086</v>
      </c>
      <c r="AN58">
        <v>2095</v>
      </c>
      <c r="AO58">
        <v>2108</v>
      </c>
      <c r="AP58">
        <v>2127</v>
      </c>
      <c r="AQ58">
        <v>2146</v>
      </c>
      <c r="AR58">
        <v>2163</v>
      </c>
      <c r="AS58">
        <v>2184</v>
      </c>
      <c r="AT58">
        <v>2196</v>
      </c>
      <c r="AU58">
        <v>2201</v>
      </c>
      <c r="AV58">
        <v>2167</v>
      </c>
      <c r="AW58">
        <v>2148</v>
      </c>
      <c r="AX58">
        <v>2136</v>
      </c>
      <c r="AY58">
        <v>2128</v>
      </c>
      <c r="AZ58">
        <v>2128</v>
      </c>
      <c r="BA58">
        <v>2145</v>
      </c>
      <c r="BB58">
        <v>2172</v>
      </c>
      <c r="BC58">
        <v>2184</v>
      </c>
      <c r="BD58">
        <v>2160</v>
      </c>
      <c r="BE58">
        <v>2140</v>
      </c>
      <c r="BF58">
        <v>2123</v>
      </c>
      <c r="BG58">
        <v>2107</v>
      </c>
      <c r="BH58">
        <v>2090</v>
      </c>
      <c r="BI58">
        <v>2079</v>
      </c>
      <c r="BJ58">
        <v>2083</v>
      </c>
      <c r="BK58">
        <v>2080</v>
      </c>
      <c r="BL58">
        <v>2068</v>
      </c>
      <c r="BM58">
        <v>2052</v>
      </c>
      <c r="BN58">
        <v>2039</v>
      </c>
      <c r="BO58">
        <v>2029</v>
      </c>
      <c r="BP58">
        <v>2023</v>
      </c>
      <c r="BQ58">
        <v>2023</v>
      </c>
      <c r="BR58">
        <v>2028</v>
      </c>
      <c r="BS58">
        <v>2025</v>
      </c>
      <c r="BT58">
        <v>2017</v>
      </c>
      <c r="BU58">
        <v>2004</v>
      </c>
      <c r="BV58">
        <v>2011</v>
      </c>
      <c r="BW58">
        <v>2013</v>
      </c>
      <c r="BX58">
        <v>2014</v>
      </c>
      <c r="BY58">
        <v>2016</v>
      </c>
      <c r="BZ58">
        <v>0</v>
      </c>
      <c r="CA58">
        <v>0</v>
      </c>
    </row>
    <row r="59" spans="1:79" x14ac:dyDescent="0.5">
      <c r="A59">
        <v>2578</v>
      </c>
      <c r="B59">
        <v>2541</v>
      </c>
      <c r="C59">
        <v>2494</v>
      </c>
      <c r="D59">
        <v>2472</v>
      </c>
      <c r="E59">
        <v>2461</v>
      </c>
      <c r="F59">
        <v>2460.11</v>
      </c>
      <c r="G59">
        <v>2478</v>
      </c>
      <c r="H59">
        <v>2476</v>
      </c>
      <c r="I59">
        <v>2464</v>
      </c>
      <c r="J59">
        <v>2450</v>
      </c>
      <c r="K59">
        <v>2456</v>
      </c>
      <c r="L59">
        <v>2463</v>
      </c>
      <c r="M59">
        <v>2460</v>
      </c>
      <c r="N59">
        <v>2454</v>
      </c>
      <c r="O59">
        <v>2454</v>
      </c>
      <c r="P59">
        <v>2456</v>
      </c>
      <c r="Q59">
        <v>2464</v>
      </c>
      <c r="R59">
        <v>2449</v>
      </c>
      <c r="S59">
        <v>2426</v>
      </c>
      <c r="T59">
        <v>2402</v>
      </c>
      <c r="U59">
        <v>2372</v>
      </c>
      <c r="V59">
        <v>2352</v>
      </c>
      <c r="W59">
        <v>2330</v>
      </c>
      <c r="X59">
        <v>2303</v>
      </c>
      <c r="Y59">
        <v>2282</v>
      </c>
      <c r="Z59">
        <v>2263</v>
      </c>
      <c r="AA59">
        <v>2241</v>
      </c>
      <c r="AB59">
        <v>2215</v>
      </c>
      <c r="AC59">
        <v>2187</v>
      </c>
      <c r="AD59">
        <v>2165</v>
      </c>
      <c r="AE59">
        <v>2144</v>
      </c>
      <c r="AF59">
        <v>2128</v>
      </c>
      <c r="AG59">
        <v>2111</v>
      </c>
      <c r="AH59">
        <v>2100</v>
      </c>
      <c r="AI59">
        <v>2090</v>
      </c>
      <c r="AJ59">
        <v>2085</v>
      </c>
      <c r="AK59">
        <v>2081</v>
      </c>
      <c r="AL59">
        <v>2082</v>
      </c>
      <c r="AM59">
        <v>2088</v>
      </c>
      <c r="AN59">
        <v>2095</v>
      </c>
      <c r="AO59">
        <v>2108</v>
      </c>
      <c r="AP59">
        <v>2125</v>
      </c>
      <c r="AQ59">
        <v>2145</v>
      </c>
      <c r="AR59">
        <v>2163</v>
      </c>
      <c r="AS59">
        <v>2182</v>
      </c>
      <c r="AT59">
        <v>2200</v>
      </c>
      <c r="AU59">
        <v>2207</v>
      </c>
      <c r="AV59">
        <v>2193</v>
      </c>
      <c r="AW59">
        <v>2166</v>
      </c>
      <c r="AX59">
        <v>2154</v>
      </c>
      <c r="AY59">
        <v>2145</v>
      </c>
      <c r="AZ59">
        <v>2142</v>
      </c>
      <c r="BA59">
        <v>2149</v>
      </c>
      <c r="BB59">
        <v>2176</v>
      </c>
      <c r="BC59">
        <v>2190</v>
      </c>
      <c r="BD59">
        <v>2175</v>
      </c>
      <c r="BE59">
        <v>2155</v>
      </c>
      <c r="BF59">
        <v>2141</v>
      </c>
      <c r="BG59">
        <v>2126</v>
      </c>
      <c r="BH59">
        <v>2109</v>
      </c>
      <c r="BI59">
        <v>2096</v>
      </c>
      <c r="BJ59">
        <v>2100</v>
      </c>
      <c r="BK59">
        <v>2094</v>
      </c>
      <c r="BL59">
        <v>2082</v>
      </c>
      <c r="BM59">
        <v>2066</v>
      </c>
      <c r="BN59">
        <v>2049</v>
      </c>
      <c r="BO59">
        <v>2043</v>
      </c>
      <c r="BP59">
        <v>2035</v>
      </c>
      <c r="BQ59">
        <v>2037</v>
      </c>
      <c r="BR59">
        <v>2036</v>
      </c>
      <c r="BS59">
        <v>2026</v>
      </c>
      <c r="BT59">
        <v>2017</v>
      </c>
      <c r="BU59">
        <v>2015</v>
      </c>
      <c r="BV59">
        <v>2019</v>
      </c>
      <c r="BW59">
        <v>2018</v>
      </c>
      <c r="BX59">
        <v>2020</v>
      </c>
      <c r="BY59">
        <v>2026</v>
      </c>
      <c r="BZ59">
        <v>2033</v>
      </c>
      <c r="CA59">
        <v>0</v>
      </c>
    </row>
    <row r="60" spans="1:79" x14ac:dyDescent="0.5">
      <c r="A60">
        <v>0</v>
      </c>
      <c r="B60">
        <v>2562</v>
      </c>
      <c r="C60">
        <v>2530</v>
      </c>
      <c r="D60">
        <v>2505</v>
      </c>
      <c r="E60">
        <v>2495</v>
      </c>
      <c r="F60">
        <v>2480</v>
      </c>
      <c r="G60">
        <v>2505</v>
      </c>
      <c r="H60">
        <v>2508</v>
      </c>
      <c r="I60">
        <v>2503</v>
      </c>
      <c r="J60">
        <v>2490</v>
      </c>
      <c r="K60">
        <v>2490</v>
      </c>
      <c r="L60">
        <v>2483</v>
      </c>
      <c r="M60">
        <v>2471</v>
      </c>
      <c r="N60">
        <v>0</v>
      </c>
      <c r="O60">
        <v>0</v>
      </c>
      <c r="P60">
        <v>0</v>
      </c>
      <c r="Q60">
        <v>2473</v>
      </c>
      <c r="R60">
        <v>2459</v>
      </c>
      <c r="S60">
        <v>2436</v>
      </c>
      <c r="T60">
        <v>2409</v>
      </c>
      <c r="U60">
        <v>2383</v>
      </c>
      <c r="V60">
        <v>2358</v>
      </c>
      <c r="W60">
        <v>2334</v>
      </c>
      <c r="X60">
        <v>2318</v>
      </c>
      <c r="Y60">
        <v>2302</v>
      </c>
      <c r="Z60">
        <v>2276</v>
      </c>
      <c r="AA60">
        <v>2249</v>
      </c>
      <c r="AB60">
        <v>2220</v>
      </c>
      <c r="AC60">
        <v>2197</v>
      </c>
      <c r="AD60">
        <v>2172</v>
      </c>
      <c r="AE60">
        <v>2147</v>
      </c>
      <c r="AF60">
        <v>2133</v>
      </c>
      <c r="AG60">
        <v>2117</v>
      </c>
      <c r="AH60">
        <v>2103</v>
      </c>
      <c r="AI60">
        <v>2094</v>
      </c>
      <c r="AJ60">
        <v>2087</v>
      </c>
      <c r="AK60">
        <v>2083</v>
      </c>
      <c r="AL60">
        <v>2084</v>
      </c>
      <c r="AM60">
        <v>2088</v>
      </c>
      <c r="AN60">
        <v>2096</v>
      </c>
      <c r="AO60">
        <v>2107</v>
      </c>
      <c r="AP60">
        <v>2126</v>
      </c>
      <c r="AQ60">
        <v>2145</v>
      </c>
      <c r="AR60">
        <v>2162</v>
      </c>
      <c r="AS60">
        <v>2185</v>
      </c>
      <c r="AT60">
        <v>2208</v>
      </c>
      <c r="AU60">
        <v>2218</v>
      </c>
      <c r="AV60">
        <v>2210</v>
      </c>
      <c r="AW60">
        <v>2189</v>
      </c>
      <c r="AX60">
        <v>2168</v>
      </c>
      <c r="AY60">
        <v>2159</v>
      </c>
      <c r="AZ60">
        <v>2156</v>
      </c>
      <c r="BA60">
        <v>2155</v>
      </c>
      <c r="BB60">
        <v>2175</v>
      </c>
      <c r="BC60">
        <v>2192</v>
      </c>
      <c r="BD60">
        <v>2186</v>
      </c>
      <c r="BE60">
        <v>2171</v>
      </c>
      <c r="BF60">
        <v>2158</v>
      </c>
      <c r="BG60">
        <v>2141</v>
      </c>
      <c r="BH60">
        <v>2128</v>
      </c>
      <c r="BI60">
        <v>2118</v>
      </c>
      <c r="BJ60">
        <v>2124</v>
      </c>
      <c r="BK60">
        <v>2118</v>
      </c>
      <c r="BL60">
        <v>2100</v>
      </c>
      <c r="BM60">
        <v>2082</v>
      </c>
      <c r="BN60">
        <v>2065</v>
      </c>
      <c r="BO60">
        <v>2058</v>
      </c>
      <c r="BP60">
        <v>2052</v>
      </c>
      <c r="BQ60">
        <v>2050</v>
      </c>
      <c r="BR60">
        <v>2041</v>
      </c>
      <c r="BS60">
        <v>2028</v>
      </c>
      <c r="BT60">
        <v>2021</v>
      </c>
      <c r="BU60">
        <v>2023</v>
      </c>
      <c r="BV60">
        <v>2026</v>
      </c>
      <c r="BW60">
        <v>2025</v>
      </c>
      <c r="BX60">
        <v>2029</v>
      </c>
      <c r="BY60">
        <v>2037</v>
      </c>
      <c r="BZ60">
        <v>2042</v>
      </c>
      <c r="CA60">
        <v>2045</v>
      </c>
    </row>
    <row r="61" spans="1:79" x14ac:dyDescent="0.5">
      <c r="A61">
        <v>0</v>
      </c>
      <c r="B61">
        <v>0</v>
      </c>
      <c r="C61">
        <v>2559</v>
      </c>
      <c r="D61">
        <v>2551</v>
      </c>
      <c r="E61">
        <v>2532</v>
      </c>
      <c r="F61">
        <v>2529</v>
      </c>
      <c r="G61">
        <v>2528</v>
      </c>
      <c r="H61">
        <v>2524</v>
      </c>
      <c r="I61">
        <v>2533</v>
      </c>
      <c r="J61">
        <v>2535</v>
      </c>
      <c r="K61">
        <v>2518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2466</v>
      </c>
      <c r="S61">
        <v>2439</v>
      </c>
      <c r="T61">
        <v>2414</v>
      </c>
      <c r="U61">
        <v>2388</v>
      </c>
      <c r="V61">
        <v>2360</v>
      </c>
      <c r="W61">
        <v>2338</v>
      </c>
      <c r="X61">
        <v>2320</v>
      </c>
      <c r="Y61">
        <v>2312</v>
      </c>
      <c r="Z61">
        <v>2280</v>
      </c>
      <c r="AA61">
        <v>2253</v>
      </c>
      <c r="AB61">
        <v>2227</v>
      </c>
      <c r="AC61">
        <v>2203</v>
      </c>
      <c r="AD61">
        <v>2175</v>
      </c>
      <c r="AE61">
        <v>2155</v>
      </c>
      <c r="AF61">
        <v>2141</v>
      </c>
      <c r="AG61">
        <v>2120</v>
      </c>
      <c r="AH61">
        <v>2107</v>
      </c>
      <c r="AI61">
        <v>2098</v>
      </c>
      <c r="AJ61">
        <v>2089</v>
      </c>
      <c r="AK61">
        <v>2086</v>
      </c>
      <c r="AL61">
        <v>2085</v>
      </c>
      <c r="AM61">
        <v>2089</v>
      </c>
      <c r="AN61">
        <v>2096</v>
      </c>
      <c r="AO61">
        <v>2108</v>
      </c>
      <c r="AP61">
        <v>2124</v>
      </c>
      <c r="AQ61">
        <v>2144</v>
      </c>
      <c r="AR61">
        <v>2164</v>
      </c>
      <c r="AS61">
        <v>2186</v>
      </c>
      <c r="AT61">
        <v>2212</v>
      </c>
      <c r="AU61">
        <v>2233</v>
      </c>
      <c r="AV61">
        <v>2229</v>
      </c>
      <c r="AW61">
        <v>2206</v>
      </c>
      <c r="AX61">
        <v>2186</v>
      </c>
      <c r="AY61">
        <v>2171</v>
      </c>
      <c r="AZ61">
        <v>2165</v>
      </c>
      <c r="BA61">
        <v>2166</v>
      </c>
      <c r="BB61">
        <v>2174</v>
      </c>
      <c r="BC61">
        <v>2192</v>
      </c>
      <c r="BD61">
        <v>2196</v>
      </c>
      <c r="BE61">
        <v>2188</v>
      </c>
      <c r="BF61">
        <v>2175</v>
      </c>
      <c r="BG61">
        <v>2158</v>
      </c>
      <c r="BH61">
        <v>2145</v>
      </c>
      <c r="BI61">
        <v>2135</v>
      </c>
      <c r="BJ61">
        <v>2141</v>
      </c>
      <c r="BK61">
        <v>2141</v>
      </c>
      <c r="BL61">
        <v>2119</v>
      </c>
      <c r="BM61">
        <v>2100</v>
      </c>
      <c r="BN61">
        <v>2084</v>
      </c>
      <c r="BO61">
        <v>2072</v>
      </c>
      <c r="BP61">
        <v>2063</v>
      </c>
      <c r="BQ61">
        <v>2057</v>
      </c>
      <c r="BR61">
        <v>2042</v>
      </c>
      <c r="BS61">
        <v>2033</v>
      </c>
      <c r="BT61">
        <v>2027</v>
      </c>
      <c r="BU61">
        <v>2031</v>
      </c>
      <c r="BV61">
        <v>2033</v>
      </c>
      <c r="BW61">
        <v>2033</v>
      </c>
      <c r="BX61">
        <v>2040</v>
      </c>
      <c r="BY61">
        <v>2046</v>
      </c>
      <c r="BZ61">
        <v>2049</v>
      </c>
      <c r="CA61">
        <v>2052</v>
      </c>
    </row>
    <row r="62" spans="1:79" x14ac:dyDescent="0.5">
      <c r="A62">
        <v>0</v>
      </c>
      <c r="B62">
        <v>0</v>
      </c>
      <c r="C62">
        <v>0</v>
      </c>
      <c r="D62">
        <v>2556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2417</v>
      </c>
      <c r="U62">
        <v>2391</v>
      </c>
      <c r="V62">
        <v>2363</v>
      </c>
      <c r="W62">
        <v>2337</v>
      </c>
      <c r="X62">
        <v>2322</v>
      </c>
      <c r="Y62">
        <v>2307</v>
      </c>
      <c r="Z62">
        <v>2279</v>
      </c>
      <c r="AA62">
        <v>2258</v>
      </c>
      <c r="AB62">
        <v>2233</v>
      </c>
      <c r="AC62">
        <v>2206</v>
      </c>
      <c r="AD62">
        <v>2181</v>
      </c>
      <c r="AE62">
        <v>2160</v>
      </c>
      <c r="AF62">
        <v>2143</v>
      </c>
      <c r="AG62">
        <v>2125</v>
      </c>
      <c r="AH62">
        <v>2111</v>
      </c>
      <c r="AI62">
        <v>2101</v>
      </c>
      <c r="AJ62">
        <v>2093</v>
      </c>
      <c r="AK62">
        <v>2089</v>
      </c>
      <c r="AL62">
        <v>2087</v>
      </c>
      <c r="AM62">
        <v>2089</v>
      </c>
      <c r="AN62">
        <v>2097</v>
      </c>
      <c r="AO62">
        <v>2108</v>
      </c>
      <c r="AP62">
        <v>2123</v>
      </c>
      <c r="AQ62">
        <v>2144</v>
      </c>
      <c r="AR62">
        <v>2162</v>
      </c>
      <c r="AS62">
        <v>2183</v>
      </c>
      <c r="AT62">
        <v>2210</v>
      </c>
      <c r="AU62">
        <v>2236</v>
      </c>
      <c r="AV62">
        <v>2243</v>
      </c>
      <c r="AW62">
        <v>2231</v>
      </c>
      <c r="AX62">
        <v>2203</v>
      </c>
      <c r="AY62">
        <v>2187</v>
      </c>
      <c r="AZ62">
        <v>2177</v>
      </c>
      <c r="BA62">
        <v>2176</v>
      </c>
      <c r="BB62">
        <v>2178</v>
      </c>
      <c r="BC62">
        <v>2190</v>
      </c>
      <c r="BD62">
        <v>2204</v>
      </c>
      <c r="BE62">
        <v>2204</v>
      </c>
      <c r="BF62">
        <v>2193</v>
      </c>
      <c r="BG62">
        <v>2179</v>
      </c>
      <c r="BH62">
        <v>2165</v>
      </c>
      <c r="BI62">
        <v>2149</v>
      </c>
      <c r="BJ62">
        <v>2159</v>
      </c>
      <c r="BK62">
        <v>2156</v>
      </c>
      <c r="BL62">
        <v>2140</v>
      </c>
      <c r="BM62">
        <v>2119</v>
      </c>
      <c r="BN62">
        <v>2102</v>
      </c>
      <c r="BO62">
        <v>2088</v>
      </c>
      <c r="BP62">
        <v>2072</v>
      </c>
      <c r="BQ62">
        <v>2057</v>
      </c>
      <c r="BR62">
        <v>2046</v>
      </c>
      <c r="BS62">
        <v>2037</v>
      </c>
      <c r="BT62">
        <v>2036</v>
      </c>
      <c r="BU62">
        <v>2039</v>
      </c>
      <c r="BV62">
        <v>2038</v>
      </c>
      <c r="BW62">
        <v>2042</v>
      </c>
      <c r="BX62">
        <v>2047</v>
      </c>
      <c r="BY62">
        <v>2053</v>
      </c>
      <c r="BZ62">
        <v>2057</v>
      </c>
      <c r="CA62">
        <v>2060</v>
      </c>
    </row>
    <row r="63" spans="1:79" x14ac:dyDescent="0.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2419</v>
      </c>
      <c r="U63">
        <v>2394</v>
      </c>
      <c r="V63">
        <v>2359</v>
      </c>
      <c r="W63">
        <v>2337</v>
      </c>
      <c r="X63">
        <v>2321</v>
      </c>
      <c r="Y63">
        <v>2307</v>
      </c>
      <c r="Z63">
        <v>2282</v>
      </c>
      <c r="AA63">
        <v>2261</v>
      </c>
      <c r="AB63">
        <v>2237</v>
      </c>
      <c r="AC63">
        <v>2213</v>
      </c>
      <c r="AD63">
        <v>2183</v>
      </c>
      <c r="AE63">
        <v>2163</v>
      </c>
      <c r="AF63">
        <v>2148</v>
      </c>
      <c r="AG63">
        <v>2133</v>
      </c>
      <c r="AH63">
        <v>2114</v>
      </c>
      <c r="AI63">
        <v>2103</v>
      </c>
      <c r="AJ63">
        <v>2096</v>
      </c>
      <c r="AK63">
        <v>2092</v>
      </c>
      <c r="AL63">
        <v>2089</v>
      </c>
      <c r="AM63">
        <v>2092</v>
      </c>
      <c r="AN63">
        <v>2098</v>
      </c>
      <c r="AO63">
        <v>2107</v>
      </c>
      <c r="AP63">
        <v>2122</v>
      </c>
      <c r="AQ63">
        <v>2141</v>
      </c>
      <c r="AR63">
        <v>2159</v>
      </c>
      <c r="AS63">
        <v>2182</v>
      </c>
      <c r="AT63">
        <v>2202</v>
      </c>
      <c r="AU63">
        <v>2228</v>
      </c>
      <c r="AV63">
        <v>2251</v>
      </c>
      <c r="AW63">
        <v>2248</v>
      </c>
      <c r="AX63">
        <v>2228</v>
      </c>
      <c r="AY63">
        <v>2201</v>
      </c>
      <c r="AZ63">
        <v>2191</v>
      </c>
      <c r="BA63">
        <v>2186</v>
      </c>
      <c r="BB63">
        <v>2185</v>
      </c>
      <c r="BC63">
        <v>2195</v>
      </c>
      <c r="BD63">
        <v>2208</v>
      </c>
      <c r="BE63">
        <v>2219</v>
      </c>
      <c r="BF63">
        <v>2213</v>
      </c>
      <c r="BG63">
        <v>2202</v>
      </c>
      <c r="BH63">
        <v>2194</v>
      </c>
      <c r="BI63">
        <v>2182</v>
      </c>
      <c r="BJ63">
        <v>2180</v>
      </c>
      <c r="BK63">
        <v>2177</v>
      </c>
      <c r="BL63">
        <v>2159</v>
      </c>
      <c r="BM63">
        <v>2141</v>
      </c>
      <c r="BN63">
        <v>2117</v>
      </c>
      <c r="BO63">
        <v>2097</v>
      </c>
      <c r="BP63">
        <v>2081</v>
      </c>
      <c r="BQ63">
        <v>2065</v>
      </c>
      <c r="BR63">
        <v>2050</v>
      </c>
      <c r="BS63">
        <v>2042</v>
      </c>
      <c r="BT63">
        <v>2043</v>
      </c>
      <c r="BU63">
        <v>2044</v>
      </c>
      <c r="BV63">
        <v>2045</v>
      </c>
      <c r="BW63">
        <v>2048</v>
      </c>
      <c r="BX63">
        <v>2054</v>
      </c>
      <c r="BY63">
        <v>2059</v>
      </c>
      <c r="BZ63">
        <v>2064</v>
      </c>
      <c r="CA63">
        <v>2068</v>
      </c>
    </row>
    <row r="64" spans="1:79" x14ac:dyDescent="0.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2309</v>
      </c>
      <c r="Z64">
        <v>2289</v>
      </c>
      <c r="AA64">
        <v>2267</v>
      </c>
      <c r="AB64">
        <v>2244</v>
      </c>
      <c r="AC64">
        <v>2221</v>
      </c>
      <c r="AD64">
        <v>2189</v>
      </c>
      <c r="AE64">
        <v>2170</v>
      </c>
      <c r="AF64">
        <v>2151</v>
      </c>
      <c r="AG64">
        <v>2138</v>
      </c>
      <c r="AH64">
        <v>2123</v>
      </c>
      <c r="AI64">
        <v>2106</v>
      </c>
      <c r="AJ64">
        <v>2098</v>
      </c>
      <c r="AK64">
        <v>2094</v>
      </c>
      <c r="AL64">
        <v>2092</v>
      </c>
      <c r="AM64">
        <v>2093</v>
      </c>
      <c r="AN64">
        <v>2097</v>
      </c>
      <c r="AO64">
        <v>2107</v>
      </c>
      <c r="AP64">
        <v>2119</v>
      </c>
      <c r="AQ64">
        <v>2138</v>
      </c>
      <c r="AR64">
        <v>2156</v>
      </c>
      <c r="AS64">
        <v>2177</v>
      </c>
      <c r="AT64">
        <v>2200</v>
      </c>
      <c r="AU64">
        <v>2224</v>
      </c>
      <c r="AV64">
        <v>2246</v>
      </c>
      <c r="AW64">
        <v>2258</v>
      </c>
      <c r="AX64">
        <v>2250</v>
      </c>
      <c r="AY64">
        <v>2227</v>
      </c>
      <c r="AZ64">
        <v>2211</v>
      </c>
      <c r="BA64">
        <v>2206</v>
      </c>
      <c r="BB64">
        <v>2198</v>
      </c>
      <c r="BC64">
        <v>2200</v>
      </c>
      <c r="BD64">
        <v>2211</v>
      </c>
      <c r="BE64">
        <v>2224</v>
      </c>
      <c r="BF64">
        <v>2232</v>
      </c>
      <c r="BG64">
        <v>2228</v>
      </c>
      <c r="BH64">
        <v>2217</v>
      </c>
      <c r="BI64">
        <v>2208</v>
      </c>
      <c r="BJ64">
        <v>2204</v>
      </c>
      <c r="BK64">
        <v>2195</v>
      </c>
      <c r="BL64">
        <v>2181</v>
      </c>
      <c r="BM64">
        <v>2160</v>
      </c>
      <c r="BN64">
        <v>2131</v>
      </c>
      <c r="BO64">
        <v>2103</v>
      </c>
      <c r="BP64">
        <v>2085</v>
      </c>
      <c r="BQ64">
        <v>2069</v>
      </c>
      <c r="BR64">
        <v>2055</v>
      </c>
      <c r="BS64">
        <v>2049</v>
      </c>
      <c r="BT64">
        <v>2049</v>
      </c>
      <c r="BU64">
        <v>2050</v>
      </c>
      <c r="BV64">
        <v>2050</v>
      </c>
      <c r="BW64">
        <v>2053</v>
      </c>
      <c r="BX64">
        <v>2058</v>
      </c>
      <c r="BY64">
        <v>2065</v>
      </c>
      <c r="BZ64">
        <v>2072</v>
      </c>
      <c r="CA64">
        <v>2077</v>
      </c>
    </row>
    <row r="65" spans="1:79" x14ac:dyDescent="0.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2127</v>
      </c>
      <c r="AI65">
        <v>2114</v>
      </c>
      <c r="AJ65">
        <v>2101</v>
      </c>
      <c r="AK65">
        <v>2096</v>
      </c>
      <c r="AL65">
        <v>2094</v>
      </c>
      <c r="AM65">
        <v>2094</v>
      </c>
      <c r="AN65">
        <v>2098</v>
      </c>
      <c r="AO65">
        <v>2105</v>
      </c>
      <c r="AP65">
        <v>2118</v>
      </c>
      <c r="AQ65">
        <v>2133</v>
      </c>
      <c r="AR65">
        <v>2150</v>
      </c>
      <c r="AS65">
        <v>2172</v>
      </c>
      <c r="AT65">
        <v>0</v>
      </c>
      <c r="AU65">
        <v>0</v>
      </c>
      <c r="AV65">
        <v>0</v>
      </c>
      <c r="AW65">
        <v>0</v>
      </c>
      <c r="AX65">
        <v>2261</v>
      </c>
      <c r="AY65">
        <v>2250</v>
      </c>
      <c r="AZ65">
        <v>2240</v>
      </c>
      <c r="BA65">
        <v>2235</v>
      </c>
      <c r="BB65">
        <v>2219</v>
      </c>
      <c r="BC65">
        <v>2207</v>
      </c>
      <c r="BD65">
        <v>2212</v>
      </c>
      <c r="BE65">
        <v>2225</v>
      </c>
      <c r="BF65">
        <v>2240</v>
      </c>
      <c r="BG65">
        <v>2246</v>
      </c>
      <c r="BH65">
        <v>2238</v>
      </c>
      <c r="BI65">
        <v>2231</v>
      </c>
      <c r="BJ65">
        <v>2222</v>
      </c>
      <c r="BK65">
        <v>2208</v>
      </c>
      <c r="BL65">
        <v>2192</v>
      </c>
      <c r="BM65">
        <v>2170</v>
      </c>
      <c r="BN65">
        <v>2141</v>
      </c>
      <c r="BO65">
        <v>2111</v>
      </c>
      <c r="BP65">
        <v>2087</v>
      </c>
      <c r="BQ65">
        <v>2074</v>
      </c>
      <c r="BR65">
        <v>2061</v>
      </c>
      <c r="BS65">
        <v>2058</v>
      </c>
      <c r="BT65">
        <v>2056</v>
      </c>
      <c r="BU65">
        <v>2057</v>
      </c>
      <c r="BV65">
        <v>2057</v>
      </c>
      <c r="BW65">
        <v>2057</v>
      </c>
      <c r="BX65">
        <v>2063</v>
      </c>
      <c r="BY65">
        <v>2069</v>
      </c>
      <c r="BZ65">
        <v>2076</v>
      </c>
      <c r="CA65">
        <v>2081</v>
      </c>
    </row>
    <row r="66" spans="1:79" x14ac:dyDescent="0.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2106</v>
      </c>
      <c r="AK66">
        <v>2100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2258</v>
      </c>
      <c r="AZ66">
        <v>2255</v>
      </c>
      <c r="BA66">
        <v>2254</v>
      </c>
      <c r="BB66">
        <v>2237</v>
      </c>
      <c r="BC66">
        <v>2222</v>
      </c>
      <c r="BD66">
        <v>2218</v>
      </c>
      <c r="BE66">
        <v>2228</v>
      </c>
      <c r="BF66">
        <v>2245</v>
      </c>
      <c r="BG66">
        <v>2259</v>
      </c>
      <c r="BH66">
        <v>2256</v>
      </c>
      <c r="BI66">
        <v>2248</v>
      </c>
      <c r="BJ66">
        <v>2234</v>
      </c>
      <c r="BK66">
        <v>2219</v>
      </c>
      <c r="BL66">
        <v>2198</v>
      </c>
      <c r="BM66">
        <v>2176</v>
      </c>
      <c r="BN66">
        <v>2145</v>
      </c>
      <c r="BO66">
        <v>2114</v>
      </c>
      <c r="BP66">
        <v>2093</v>
      </c>
      <c r="BQ66">
        <v>2081</v>
      </c>
      <c r="BR66">
        <v>2073</v>
      </c>
      <c r="BS66">
        <v>2071</v>
      </c>
      <c r="BT66">
        <v>2066</v>
      </c>
      <c r="BU66">
        <v>2065</v>
      </c>
      <c r="BV66">
        <v>2062</v>
      </c>
      <c r="BW66">
        <v>2060</v>
      </c>
      <c r="BX66">
        <v>2064</v>
      </c>
      <c r="BY66">
        <v>2071</v>
      </c>
      <c r="BZ66">
        <v>2077</v>
      </c>
      <c r="CA66">
        <v>2085</v>
      </c>
    </row>
    <row r="67" spans="1:79" x14ac:dyDescent="0.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2262</v>
      </c>
      <c r="BB67">
        <v>2252</v>
      </c>
      <c r="BC67">
        <v>2234</v>
      </c>
      <c r="BD67">
        <v>2226</v>
      </c>
      <c r="BE67">
        <v>2231</v>
      </c>
      <c r="BF67">
        <v>2245</v>
      </c>
      <c r="BG67">
        <v>2264</v>
      </c>
      <c r="BH67">
        <v>2269</v>
      </c>
      <c r="BI67">
        <v>2260</v>
      </c>
      <c r="BJ67">
        <v>2247</v>
      </c>
      <c r="BK67">
        <v>2222</v>
      </c>
      <c r="BL67">
        <v>2202</v>
      </c>
      <c r="BM67">
        <v>2180</v>
      </c>
      <c r="BN67">
        <v>2150</v>
      </c>
      <c r="BO67">
        <v>2123</v>
      </c>
      <c r="BP67">
        <v>2098</v>
      </c>
      <c r="BQ67">
        <v>2089</v>
      </c>
      <c r="BR67">
        <v>2084</v>
      </c>
      <c r="BS67">
        <v>2076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2260</v>
      </c>
      <c r="BC68">
        <v>2244</v>
      </c>
      <c r="BD68">
        <v>2234</v>
      </c>
      <c r="BE68">
        <v>2231.1</v>
      </c>
      <c r="BF68">
        <v>2241</v>
      </c>
      <c r="BG68">
        <v>2257</v>
      </c>
      <c r="BH68">
        <v>2277</v>
      </c>
      <c r="BI68">
        <v>2266</v>
      </c>
      <c r="BJ68">
        <v>2252</v>
      </c>
      <c r="BK68">
        <v>2230</v>
      </c>
      <c r="BL68">
        <v>2208</v>
      </c>
      <c r="BM68">
        <v>2186</v>
      </c>
      <c r="BN68">
        <v>2156</v>
      </c>
      <c r="BO68">
        <v>2130</v>
      </c>
      <c r="BP68">
        <v>2109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2279</v>
      </c>
      <c r="BJ69">
        <v>2261</v>
      </c>
      <c r="BK69">
        <v>2240</v>
      </c>
      <c r="BL69">
        <v>2218</v>
      </c>
      <c r="BM69">
        <v>2195</v>
      </c>
      <c r="BN69">
        <v>2167</v>
      </c>
      <c r="BO69">
        <v>2142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2275</v>
      </c>
      <c r="BK70">
        <v>2254</v>
      </c>
      <c r="BL70">
        <v>2230</v>
      </c>
      <c r="BM70">
        <v>2208</v>
      </c>
      <c r="BN70">
        <v>2177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2269</v>
      </c>
      <c r="BL71">
        <v>2243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J14" workbookViewId="0">
      <selection activeCell="A41" sqref="A41:BW41"/>
    </sheetView>
  </sheetViews>
  <sheetFormatPr defaultRowHeight="14.35" x14ac:dyDescent="0.5"/>
  <cols>
    <col min="1" max="79" width="4.76171875" bestFit="1" customWidth="1"/>
  </cols>
  <sheetData>
    <row r="1" spans="1:79" x14ac:dyDescent="0.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2056</v>
      </c>
      <c r="BA1">
        <v>2046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2054</v>
      </c>
      <c r="BA2">
        <v>2040</v>
      </c>
      <c r="BB2">
        <v>2015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2047</v>
      </c>
      <c r="BA3">
        <v>2032</v>
      </c>
      <c r="BB3">
        <v>2005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2040</v>
      </c>
      <c r="BA4">
        <v>2021</v>
      </c>
      <c r="BB4">
        <v>2004</v>
      </c>
      <c r="BC4">
        <v>2003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2034</v>
      </c>
      <c r="BA5">
        <v>2014</v>
      </c>
      <c r="BB5">
        <v>2003</v>
      </c>
      <c r="BC5">
        <v>2001</v>
      </c>
      <c r="BD5">
        <v>2001</v>
      </c>
      <c r="BE5">
        <v>1999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2032</v>
      </c>
      <c r="BA6">
        <v>2015</v>
      </c>
      <c r="BB6">
        <v>2004</v>
      </c>
      <c r="BC6">
        <v>2002</v>
      </c>
      <c r="BD6">
        <v>1999</v>
      </c>
      <c r="BE6">
        <v>1997</v>
      </c>
      <c r="BF6">
        <v>1999</v>
      </c>
      <c r="BG6">
        <v>2003</v>
      </c>
      <c r="BH6">
        <v>0</v>
      </c>
      <c r="BI6">
        <v>0</v>
      </c>
      <c r="BJ6">
        <v>0</v>
      </c>
      <c r="BK6">
        <v>0</v>
      </c>
      <c r="BL6">
        <v>2005</v>
      </c>
      <c r="BM6">
        <v>2007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2034</v>
      </c>
      <c r="BA7">
        <v>2019</v>
      </c>
      <c r="BB7">
        <v>2015</v>
      </c>
      <c r="BC7">
        <v>2003</v>
      </c>
      <c r="BD7">
        <v>1996</v>
      </c>
      <c r="BE7">
        <v>1994</v>
      </c>
      <c r="BF7">
        <v>1997</v>
      </c>
      <c r="BG7">
        <v>2002</v>
      </c>
      <c r="BH7">
        <v>2005</v>
      </c>
      <c r="BI7">
        <v>2009</v>
      </c>
      <c r="BJ7">
        <v>2007</v>
      </c>
      <c r="BK7">
        <v>2004</v>
      </c>
      <c r="BL7">
        <v>2002</v>
      </c>
      <c r="BM7">
        <v>2005</v>
      </c>
      <c r="BN7">
        <v>2006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2041</v>
      </c>
      <c r="BA8">
        <v>2029</v>
      </c>
      <c r="BB8">
        <v>2019</v>
      </c>
      <c r="BC8">
        <v>2003</v>
      </c>
      <c r="BD8">
        <v>1992</v>
      </c>
      <c r="BE8">
        <v>1992</v>
      </c>
      <c r="BF8">
        <v>1994</v>
      </c>
      <c r="BG8">
        <v>2000</v>
      </c>
      <c r="BH8">
        <v>2006</v>
      </c>
      <c r="BI8">
        <v>2009</v>
      </c>
      <c r="BJ8">
        <v>2008</v>
      </c>
      <c r="BK8">
        <v>2005</v>
      </c>
      <c r="BL8">
        <v>2000</v>
      </c>
      <c r="BM8">
        <v>1999</v>
      </c>
      <c r="BN8">
        <v>2000</v>
      </c>
      <c r="BO8">
        <v>2000</v>
      </c>
      <c r="BP8">
        <v>2001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2043</v>
      </c>
      <c r="AZ9">
        <v>2035</v>
      </c>
      <c r="BA9">
        <v>2024</v>
      </c>
      <c r="BB9">
        <v>2015</v>
      </c>
      <c r="BC9">
        <v>2004</v>
      </c>
      <c r="BD9">
        <v>1993</v>
      </c>
      <c r="BE9">
        <v>1989</v>
      </c>
      <c r="BF9">
        <v>1991</v>
      </c>
      <c r="BG9">
        <v>1993</v>
      </c>
      <c r="BH9">
        <v>2002</v>
      </c>
      <c r="BI9">
        <v>2008</v>
      </c>
      <c r="BJ9">
        <v>2008</v>
      </c>
      <c r="BK9">
        <v>2005</v>
      </c>
      <c r="BL9">
        <v>1999</v>
      </c>
      <c r="BM9">
        <v>1993</v>
      </c>
      <c r="BN9">
        <v>1991</v>
      </c>
      <c r="BO9">
        <v>1994</v>
      </c>
      <c r="BP9">
        <v>1999</v>
      </c>
      <c r="BQ9">
        <v>2003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2034</v>
      </c>
      <c r="AY10">
        <v>2037</v>
      </c>
      <c r="AZ10">
        <v>2030</v>
      </c>
      <c r="BA10">
        <v>2023</v>
      </c>
      <c r="BB10">
        <v>2013</v>
      </c>
      <c r="BC10">
        <v>2000</v>
      </c>
      <c r="BD10">
        <v>1994</v>
      </c>
      <c r="BE10">
        <v>1989</v>
      </c>
      <c r="BF10">
        <v>1990</v>
      </c>
      <c r="BG10">
        <v>1991</v>
      </c>
      <c r="BH10">
        <v>1998</v>
      </c>
      <c r="BI10">
        <v>2003</v>
      </c>
      <c r="BJ10">
        <v>2004</v>
      </c>
      <c r="BK10">
        <v>2002</v>
      </c>
      <c r="BL10">
        <v>1999</v>
      </c>
      <c r="BM10">
        <v>1994</v>
      </c>
      <c r="BN10">
        <v>1982</v>
      </c>
      <c r="BO10">
        <v>1989</v>
      </c>
      <c r="BP10">
        <v>1998</v>
      </c>
      <c r="BQ10">
        <v>2005</v>
      </c>
      <c r="BR10">
        <v>2010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2033</v>
      </c>
      <c r="AX11">
        <v>2031</v>
      </c>
      <c r="AY11">
        <v>2029</v>
      </c>
      <c r="AZ11">
        <v>2026</v>
      </c>
      <c r="BA11">
        <v>2022</v>
      </c>
      <c r="BB11">
        <v>2013</v>
      </c>
      <c r="BC11">
        <v>2001</v>
      </c>
      <c r="BD11">
        <v>1994</v>
      </c>
      <c r="BE11">
        <v>1989</v>
      </c>
      <c r="BF11">
        <v>1988</v>
      </c>
      <c r="BG11">
        <v>1988</v>
      </c>
      <c r="BH11">
        <v>1991</v>
      </c>
      <c r="BI11">
        <v>1995</v>
      </c>
      <c r="BJ11">
        <v>1995</v>
      </c>
      <c r="BK11">
        <v>1996</v>
      </c>
      <c r="BL11">
        <v>1995</v>
      </c>
      <c r="BM11">
        <v>1990</v>
      </c>
      <c r="BN11">
        <v>1980</v>
      </c>
      <c r="BO11">
        <v>1987</v>
      </c>
      <c r="BP11">
        <v>1995</v>
      </c>
      <c r="BQ11">
        <v>2002</v>
      </c>
      <c r="BR11">
        <v>2008</v>
      </c>
      <c r="BS11">
        <v>2013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2070</v>
      </c>
      <c r="AQ12">
        <v>2064</v>
      </c>
      <c r="AR12">
        <v>0</v>
      </c>
      <c r="AS12">
        <v>0</v>
      </c>
      <c r="AT12">
        <v>0</v>
      </c>
      <c r="AU12">
        <v>0</v>
      </c>
      <c r="AV12">
        <v>2039</v>
      </c>
      <c r="AW12">
        <v>2035</v>
      </c>
      <c r="AX12">
        <v>2029</v>
      </c>
      <c r="AY12">
        <v>2026</v>
      </c>
      <c r="AZ12">
        <v>2020</v>
      </c>
      <c r="BA12">
        <v>2019</v>
      </c>
      <c r="BB12">
        <v>2018</v>
      </c>
      <c r="BC12">
        <v>2004</v>
      </c>
      <c r="BD12">
        <v>1995</v>
      </c>
      <c r="BE12">
        <v>1991</v>
      </c>
      <c r="BF12">
        <v>1986</v>
      </c>
      <c r="BG12">
        <v>1984</v>
      </c>
      <c r="BH12">
        <v>1985</v>
      </c>
      <c r="BI12">
        <v>1987</v>
      </c>
      <c r="BJ12">
        <v>1989</v>
      </c>
      <c r="BK12">
        <v>1990</v>
      </c>
      <c r="BL12">
        <v>1989</v>
      </c>
      <c r="BM12">
        <v>1984</v>
      </c>
      <c r="BN12">
        <v>1977</v>
      </c>
      <c r="BO12">
        <v>1980</v>
      </c>
      <c r="BP12">
        <v>1988</v>
      </c>
      <c r="BQ12">
        <v>1995</v>
      </c>
      <c r="BR12">
        <v>2006</v>
      </c>
      <c r="BS12">
        <v>2011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2071</v>
      </c>
      <c r="AN13">
        <v>2068</v>
      </c>
      <c r="AO13">
        <v>2067</v>
      </c>
      <c r="AP13">
        <v>2065</v>
      </c>
      <c r="AQ13">
        <v>2054</v>
      </c>
      <c r="AR13">
        <v>2050</v>
      </c>
      <c r="AS13">
        <v>2048</v>
      </c>
      <c r="AT13">
        <v>2047</v>
      </c>
      <c r="AU13">
        <v>2044</v>
      </c>
      <c r="AV13">
        <v>2040</v>
      </c>
      <c r="AW13">
        <v>2033</v>
      </c>
      <c r="AX13">
        <v>2027</v>
      </c>
      <c r="AY13">
        <v>2022</v>
      </c>
      <c r="AZ13">
        <v>2017</v>
      </c>
      <c r="BA13">
        <v>2014</v>
      </c>
      <c r="BB13">
        <v>2011</v>
      </c>
      <c r="BC13">
        <v>2005</v>
      </c>
      <c r="BD13">
        <v>1997</v>
      </c>
      <c r="BE13">
        <v>1991</v>
      </c>
      <c r="BF13">
        <v>1985</v>
      </c>
      <c r="BG13">
        <v>1981</v>
      </c>
      <c r="BH13">
        <v>1979</v>
      </c>
      <c r="BI13">
        <v>1980</v>
      </c>
      <c r="BJ13">
        <v>1981</v>
      </c>
      <c r="BK13">
        <v>1986</v>
      </c>
      <c r="BL13">
        <v>1984</v>
      </c>
      <c r="BM13">
        <v>1979</v>
      </c>
      <c r="BN13">
        <v>1971</v>
      </c>
      <c r="BO13">
        <v>1972</v>
      </c>
      <c r="BP13">
        <v>1979</v>
      </c>
      <c r="BQ13">
        <v>1991</v>
      </c>
      <c r="BR13">
        <v>2004</v>
      </c>
      <c r="BS13">
        <v>2006</v>
      </c>
      <c r="BT13">
        <v>2007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2071</v>
      </c>
      <c r="AN14">
        <v>2061</v>
      </c>
      <c r="AO14">
        <v>2055</v>
      </c>
      <c r="AP14">
        <v>2051</v>
      </c>
      <c r="AQ14">
        <v>2041</v>
      </c>
      <c r="AR14">
        <v>2040</v>
      </c>
      <c r="AS14">
        <v>2040</v>
      </c>
      <c r="AT14">
        <v>2044</v>
      </c>
      <c r="AU14">
        <v>2043</v>
      </c>
      <c r="AV14">
        <v>2038</v>
      </c>
      <c r="AW14">
        <v>2031</v>
      </c>
      <c r="AX14">
        <v>2025</v>
      </c>
      <c r="AY14">
        <v>2020</v>
      </c>
      <c r="AZ14">
        <v>2015</v>
      </c>
      <c r="BA14">
        <v>2011</v>
      </c>
      <c r="BB14">
        <v>2007</v>
      </c>
      <c r="BC14">
        <v>2003</v>
      </c>
      <c r="BD14">
        <v>1999</v>
      </c>
      <c r="BE14">
        <v>1993</v>
      </c>
      <c r="BF14">
        <v>1987</v>
      </c>
      <c r="BG14">
        <v>1981</v>
      </c>
      <c r="BH14">
        <v>1975</v>
      </c>
      <c r="BI14">
        <v>1975</v>
      </c>
      <c r="BJ14">
        <v>1977</v>
      </c>
      <c r="BK14">
        <v>1980</v>
      </c>
      <c r="BL14">
        <v>1980</v>
      </c>
      <c r="BM14">
        <v>1972</v>
      </c>
      <c r="BN14">
        <v>1964</v>
      </c>
      <c r="BO14">
        <v>1963</v>
      </c>
      <c r="BP14">
        <v>1970</v>
      </c>
      <c r="BQ14">
        <v>1981</v>
      </c>
      <c r="BR14">
        <v>1996</v>
      </c>
      <c r="BS14">
        <v>1999</v>
      </c>
      <c r="BT14">
        <v>2001</v>
      </c>
      <c r="BU14">
        <v>2001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2080</v>
      </c>
      <c r="AM15">
        <v>2069</v>
      </c>
      <c r="AN15">
        <v>2061</v>
      </c>
      <c r="AO15">
        <v>2053</v>
      </c>
      <c r="AP15">
        <v>2036</v>
      </c>
      <c r="AQ15">
        <v>2028</v>
      </c>
      <c r="AR15">
        <v>2025</v>
      </c>
      <c r="AS15">
        <v>2026</v>
      </c>
      <c r="AT15">
        <v>2033</v>
      </c>
      <c r="AU15">
        <v>2035</v>
      </c>
      <c r="AV15">
        <v>2034</v>
      </c>
      <c r="AW15">
        <v>2029</v>
      </c>
      <c r="AX15">
        <v>2023</v>
      </c>
      <c r="AY15">
        <v>2017</v>
      </c>
      <c r="AZ15">
        <v>2012</v>
      </c>
      <c r="BA15">
        <v>2007</v>
      </c>
      <c r="BB15">
        <v>2003</v>
      </c>
      <c r="BC15">
        <v>1999</v>
      </c>
      <c r="BD15">
        <v>1996</v>
      </c>
      <c r="BE15">
        <v>1994</v>
      </c>
      <c r="BF15">
        <v>1989</v>
      </c>
      <c r="BG15">
        <v>1983</v>
      </c>
      <c r="BH15">
        <v>1974</v>
      </c>
      <c r="BI15">
        <v>1970</v>
      </c>
      <c r="BJ15">
        <v>1973</v>
      </c>
      <c r="BK15">
        <v>1975</v>
      </c>
      <c r="BL15">
        <v>1973</v>
      </c>
      <c r="BM15">
        <v>1970</v>
      </c>
      <c r="BN15">
        <v>1961</v>
      </c>
      <c r="BO15">
        <v>1956</v>
      </c>
      <c r="BP15">
        <v>1961</v>
      </c>
      <c r="BQ15">
        <v>1968</v>
      </c>
      <c r="BR15">
        <v>1980</v>
      </c>
      <c r="BS15">
        <v>1988</v>
      </c>
      <c r="BT15">
        <v>1993</v>
      </c>
      <c r="BU15">
        <v>1997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2090</v>
      </c>
      <c r="AL16">
        <v>2078</v>
      </c>
      <c r="AM16">
        <v>2069</v>
      </c>
      <c r="AN16">
        <v>2058</v>
      </c>
      <c r="AO16">
        <v>2047</v>
      </c>
      <c r="AP16">
        <v>2038</v>
      </c>
      <c r="AQ16">
        <v>2033</v>
      </c>
      <c r="AR16">
        <v>2029</v>
      </c>
      <c r="AS16">
        <v>2014</v>
      </c>
      <c r="AT16">
        <v>2019</v>
      </c>
      <c r="AU16">
        <v>2020</v>
      </c>
      <c r="AV16">
        <v>2023</v>
      </c>
      <c r="AW16">
        <v>2022</v>
      </c>
      <c r="AX16">
        <v>2019</v>
      </c>
      <c r="AY16">
        <v>2015</v>
      </c>
      <c r="AZ16">
        <v>2008</v>
      </c>
      <c r="BA16">
        <v>2003</v>
      </c>
      <c r="BB16">
        <v>1998</v>
      </c>
      <c r="BC16">
        <v>1994</v>
      </c>
      <c r="BD16">
        <v>1992</v>
      </c>
      <c r="BE16">
        <v>1990</v>
      </c>
      <c r="BF16">
        <v>1988</v>
      </c>
      <c r="BG16">
        <v>1984</v>
      </c>
      <c r="BH16">
        <v>1980</v>
      </c>
      <c r="BI16">
        <v>1966</v>
      </c>
      <c r="BJ16">
        <v>1969</v>
      </c>
      <c r="BK16">
        <v>1972</v>
      </c>
      <c r="BL16">
        <v>1971</v>
      </c>
      <c r="BM16">
        <v>1969</v>
      </c>
      <c r="BN16">
        <v>1961</v>
      </c>
      <c r="BO16">
        <v>1953</v>
      </c>
      <c r="BP16">
        <v>1953</v>
      </c>
      <c r="BQ16">
        <v>1955</v>
      </c>
      <c r="BR16">
        <v>1967</v>
      </c>
      <c r="BS16">
        <v>1975</v>
      </c>
      <c r="BT16">
        <v>1985</v>
      </c>
      <c r="BU16">
        <v>1992</v>
      </c>
      <c r="BV16">
        <v>1993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x14ac:dyDescent="0.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2091</v>
      </c>
      <c r="AK17">
        <v>2085</v>
      </c>
      <c r="AL17">
        <v>2069</v>
      </c>
      <c r="AM17">
        <v>2062</v>
      </c>
      <c r="AN17">
        <v>2053</v>
      </c>
      <c r="AO17">
        <v>2041</v>
      </c>
      <c r="AP17">
        <v>2038</v>
      </c>
      <c r="AQ17">
        <v>2035</v>
      </c>
      <c r="AR17">
        <v>2031</v>
      </c>
      <c r="AS17">
        <v>2018</v>
      </c>
      <c r="AT17">
        <v>2007</v>
      </c>
      <c r="AU17">
        <v>2005</v>
      </c>
      <c r="AV17">
        <v>2005</v>
      </c>
      <c r="AW17">
        <v>2012</v>
      </c>
      <c r="AX17">
        <v>2012</v>
      </c>
      <c r="AY17">
        <v>2008</v>
      </c>
      <c r="AZ17">
        <v>2002</v>
      </c>
      <c r="BA17">
        <v>1996</v>
      </c>
      <c r="BB17">
        <v>1993</v>
      </c>
      <c r="BC17">
        <v>1991</v>
      </c>
      <c r="BD17">
        <v>1989</v>
      </c>
      <c r="BE17">
        <v>1988</v>
      </c>
      <c r="BF17">
        <v>1986</v>
      </c>
      <c r="BG17">
        <v>1983</v>
      </c>
      <c r="BH17">
        <v>1980</v>
      </c>
      <c r="BI17">
        <v>1966</v>
      </c>
      <c r="BJ17">
        <v>1965</v>
      </c>
      <c r="BK17">
        <v>1970</v>
      </c>
      <c r="BL17">
        <v>1968</v>
      </c>
      <c r="BM17">
        <v>1961</v>
      </c>
      <c r="BN17">
        <v>1950</v>
      </c>
      <c r="BO17">
        <v>1948</v>
      </c>
      <c r="BP17">
        <v>1945</v>
      </c>
      <c r="BQ17">
        <v>1946</v>
      </c>
      <c r="BR17">
        <v>1952</v>
      </c>
      <c r="BS17">
        <v>1960</v>
      </c>
      <c r="BT17">
        <v>1976</v>
      </c>
      <c r="BU17">
        <v>1984</v>
      </c>
      <c r="BV17">
        <v>1986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x14ac:dyDescent="0.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2097</v>
      </c>
      <c r="AJ18">
        <v>2090</v>
      </c>
      <c r="AK18">
        <v>2077</v>
      </c>
      <c r="AL18">
        <v>2065</v>
      </c>
      <c r="AM18">
        <v>2057</v>
      </c>
      <c r="AN18">
        <v>2050</v>
      </c>
      <c r="AO18">
        <v>2041</v>
      </c>
      <c r="AP18">
        <v>2038</v>
      </c>
      <c r="AQ18">
        <v>2033</v>
      </c>
      <c r="AR18">
        <v>2029</v>
      </c>
      <c r="AS18">
        <v>2016</v>
      </c>
      <c r="AT18">
        <v>2009</v>
      </c>
      <c r="AU18">
        <v>2000</v>
      </c>
      <c r="AV18">
        <v>1988</v>
      </c>
      <c r="AW18">
        <v>1998</v>
      </c>
      <c r="AX18">
        <v>2003</v>
      </c>
      <c r="AY18">
        <v>2000</v>
      </c>
      <c r="AZ18">
        <v>1994</v>
      </c>
      <c r="BA18">
        <v>1991</v>
      </c>
      <c r="BB18">
        <v>1987</v>
      </c>
      <c r="BC18">
        <v>1985</v>
      </c>
      <c r="BD18">
        <v>1985</v>
      </c>
      <c r="BE18">
        <v>1985</v>
      </c>
      <c r="BF18">
        <v>1984</v>
      </c>
      <c r="BG18">
        <v>1982</v>
      </c>
      <c r="BH18">
        <v>1976</v>
      </c>
      <c r="BI18">
        <v>1969</v>
      </c>
      <c r="BJ18">
        <v>1956</v>
      </c>
      <c r="BK18">
        <v>1961</v>
      </c>
      <c r="BL18">
        <v>1958</v>
      </c>
      <c r="BM18">
        <v>1950</v>
      </c>
      <c r="BN18">
        <v>1943</v>
      </c>
      <c r="BO18">
        <v>1943</v>
      </c>
      <c r="BP18">
        <v>1940</v>
      </c>
      <c r="BQ18">
        <v>1940</v>
      </c>
      <c r="BR18">
        <v>1939</v>
      </c>
      <c r="BS18">
        <v>1949</v>
      </c>
      <c r="BT18">
        <v>1964</v>
      </c>
      <c r="BU18">
        <v>1974</v>
      </c>
      <c r="BV18">
        <v>1979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x14ac:dyDescent="0.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2103</v>
      </c>
      <c r="AI19">
        <v>2091</v>
      </c>
      <c r="AJ19">
        <v>2093</v>
      </c>
      <c r="AK19">
        <v>2078</v>
      </c>
      <c r="AL19">
        <v>2067</v>
      </c>
      <c r="AM19">
        <v>2064</v>
      </c>
      <c r="AN19">
        <v>2055</v>
      </c>
      <c r="AO19">
        <v>2046</v>
      </c>
      <c r="AP19">
        <v>2040</v>
      </c>
      <c r="AQ19">
        <v>2034</v>
      </c>
      <c r="AR19">
        <v>2030</v>
      </c>
      <c r="AS19">
        <v>2022</v>
      </c>
      <c r="AT19">
        <v>2016</v>
      </c>
      <c r="AU19">
        <v>2000</v>
      </c>
      <c r="AV19">
        <v>1975</v>
      </c>
      <c r="AW19">
        <v>1982</v>
      </c>
      <c r="AX19">
        <v>1991</v>
      </c>
      <c r="AY19">
        <v>1992</v>
      </c>
      <c r="AZ19">
        <v>1986</v>
      </c>
      <c r="BA19">
        <v>1985</v>
      </c>
      <c r="BB19">
        <v>1982</v>
      </c>
      <c r="BC19">
        <v>1980</v>
      </c>
      <c r="BD19">
        <v>1981</v>
      </c>
      <c r="BE19">
        <v>1983</v>
      </c>
      <c r="BF19">
        <v>1983</v>
      </c>
      <c r="BG19">
        <v>1981</v>
      </c>
      <c r="BH19">
        <v>1972</v>
      </c>
      <c r="BI19">
        <v>1964</v>
      </c>
      <c r="BJ19">
        <v>1954</v>
      </c>
      <c r="BK19">
        <v>1946</v>
      </c>
      <c r="BL19">
        <v>1946</v>
      </c>
      <c r="BM19">
        <v>1943</v>
      </c>
      <c r="BN19">
        <v>1938</v>
      </c>
      <c r="BO19">
        <v>1940</v>
      </c>
      <c r="BP19">
        <v>1939</v>
      </c>
      <c r="BQ19">
        <v>1939</v>
      </c>
      <c r="BR19">
        <v>1939</v>
      </c>
      <c r="BS19">
        <v>1941</v>
      </c>
      <c r="BT19">
        <v>1953</v>
      </c>
      <c r="BU19">
        <v>1967</v>
      </c>
      <c r="BV19">
        <v>1979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x14ac:dyDescent="0.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2102</v>
      </c>
      <c r="AI20">
        <v>2110</v>
      </c>
      <c r="AJ20">
        <v>2111</v>
      </c>
      <c r="AK20">
        <v>2093</v>
      </c>
      <c r="AL20">
        <v>2082</v>
      </c>
      <c r="AM20">
        <v>2070</v>
      </c>
      <c r="AN20">
        <v>2062</v>
      </c>
      <c r="AO20">
        <v>2055</v>
      </c>
      <c r="AP20">
        <v>2042</v>
      </c>
      <c r="AQ20">
        <v>2032</v>
      </c>
      <c r="AR20">
        <v>2029</v>
      </c>
      <c r="AS20">
        <v>2021</v>
      </c>
      <c r="AT20">
        <v>2015</v>
      </c>
      <c r="AU20">
        <v>1996</v>
      </c>
      <c r="AV20">
        <v>1970</v>
      </c>
      <c r="AW20">
        <v>1972</v>
      </c>
      <c r="AX20">
        <v>1978</v>
      </c>
      <c r="AY20">
        <v>1982</v>
      </c>
      <c r="AZ20">
        <v>1978</v>
      </c>
      <c r="BA20">
        <v>1978</v>
      </c>
      <c r="BB20">
        <v>1976</v>
      </c>
      <c r="BC20">
        <v>1976</v>
      </c>
      <c r="BD20">
        <v>1977</v>
      </c>
      <c r="BE20">
        <v>1981</v>
      </c>
      <c r="BF20">
        <v>1980</v>
      </c>
      <c r="BG20">
        <v>1975</v>
      </c>
      <c r="BH20">
        <v>1967</v>
      </c>
      <c r="BI20">
        <v>1960</v>
      </c>
      <c r="BJ20">
        <v>1952</v>
      </c>
      <c r="BK20">
        <v>1943</v>
      </c>
      <c r="BL20">
        <v>1937</v>
      </c>
      <c r="BM20">
        <v>1938</v>
      </c>
      <c r="BN20">
        <v>1936</v>
      </c>
      <c r="BO20">
        <v>1939</v>
      </c>
      <c r="BP20">
        <v>1942</v>
      </c>
      <c r="BQ20">
        <v>1943</v>
      </c>
      <c r="BR20">
        <v>1945</v>
      </c>
      <c r="BS20">
        <v>1943</v>
      </c>
      <c r="BT20">
        <v>1950</v>
      </c>
      <c r="BU20">
        <v>1966</v>
      </c>
      <c r="BV20">
        <v>1993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x14ac:dyDescent="0.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2113</v>
      </c>
      <c r="AH21">
        <v>2122</v>
      </c>
      <c r="AI21">
        <v>2126</v>
      </c>
      <c r="AJ21">
        <v>2113</v>
      </c>
      <c r="AK21">
        <v>2093</v>
      </c>
      <c r="AL21">
        <v>2077</v>
      </c>
      <c r="AM21">
        <v>2062</v>
      </c>
      <c r="AN21">
        <v>2051</v>
      </c>
      <c r="AO21">
        <v>2041</v>
      </c>
      <c r="AP21">
        <v>2031</v>
      </c>
      <c r="AQ21">
        <v>2022</v>
      </c>
      <c r="AR21">
        <v>2014</v>
      </c>
      <c r="AS21">
        <v>2007</v>
      </c>
      <c r="AT21">
        <v>1999</v>
      </c>
      <c r="AU21">
        <v>1983</v>
      </c>
      <c r="AV21">
        <v>1960</v>
      </c>
      <c r="AW21">
        <v>1957</v>
      </c>
      <c r="AX21">
        <v>1964</v>
      </c>
      <c r="AY21">
        <v>1970</v>
      </c>
      <c r="AZ21">
        <v>1968</v>
      </c>
      <c r="BA21">
        <v>1968</v>
      </c>
      <c r="BB21">
        <v>1968</v>
      </c>
      <c r="BC21">
        <v>1971</v>
      </c>
      <c r="BD21">
        <v>1974</v>
      </c>
      <c r="BE21">
        <v>1978</v>
      </c>
      <c r="BF21">
        <v>1975</v>
      </c>
      <c r="BG21">
        <v>1968</v>
      </c>
      <c r="BH21">
        <v>1963</v>
      </c>
      <c r="BI21">
        <v>1958</v>
      </c>
      <c r="BJ21">
        <v>1950</v>
      </c>
      <c r="BK21">
        <v>1943</v>
      </c>
      <c r="BL21">
        <v>1934</v>
      </c>
      <c r="BM21">
        <v>1934</v>
      </c>
      <c r="BN21">
        <v>1935</v>
      </c>
      <c r="BO21">
        <v>1944</v>
      </c>
      <c r="BP21">
        <v>1948</v>
      </c>
      <c r="BQ21">
        <v>1956</v>
      </c>
      <c r="BR21">
        <v>1956</v>
      </c>
      <c r="BS21">
        <v>1953</v>
      </c>
      <c r="BT21">
        <v>1953</v>
      </c>
      <c r="BU21">
        <v>1965</v>
      </c>
      <c r="BV21">
        <v>1980</v>
      </c>
      <c r="BW21">
        <v>1990</v>
      </c>
      <c r="BX21">
        <v>0</v>
      </c>
      <c r="BY21">
        <v>0</v>
      </c>
      <c r="BZ21">
        <v>0</v>
      </c>
      <c r="CA21">
        <v>0</v>
      </c>
    </row>
    <row r="22" spans="1:79" x14ac:dyDescent="0.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2131</v>
      </c>
      <c r="AH22">
        <v>2128</v>
      </c>
      <c r="AI22">
        <v>2115</v>
      </c>
      <c r="AJ22">
        <v>2098</v>
      </c>
      <c r="AK22">
        <v>2082</v>
      </c>
      <c r="AL22">
        <v>2066</v>
      </c>
      <c r="AM22">
        <v>2054</v>
      </c>
      <c r="AN22">
        <v>2045</v>
      </c>
      <c r="AO22">
        <v>2034</v>
      </c>
      <c r="AP22">
        <v>2021</v>
      </c>
      <c r="AQ22">
        <v>2009</v>
      </c>
      <c r="AR22">
        <v>1997</v>
      </c>
      <c r="AS22">
        <v>1983</v>
      </c>
      <c r="AT22">
        <v>1975</v>
      </c>
      <c r="AU22">
        <v>1958</v>
      </c>
      <c r="AV22">
        <v>1948</v>
      </c>
      <c r="AW22">
        <v>1943</v>
      </c>
      <c r="AX22">
        <v>1951</v>
      </c>
      <c r="AY22">
        <v>1960</v>
      </c>
      <c r="AZ22">
        <v>1960</v>
      </c>
      <c r="BA22">
        <v>1959</v>
      </c>
      <c r="BB22">
        <v>1963</v>
      </c>
      <c r="BC22">
        <v>1968</v>
      </c>
      <c r="BD22">
        <v>1971</v>
      </c>
      <c r="BE22">
        <v>1974</v>
      </c>
      <c r="BF22">
        <v>1970</v>
      </c>
      <c r="BG22">
        <v>1964</v>
      </c>
      <c r="BH22">
        <v>1958</v>
      </c>
      <c r="BI22">
        <v>1954</v>
      </c>
      <c r="BJ22">
        <v>1949</v>
      </c>
      <c r="BK22">
        <v>1944</v>
      </c>
      <c r="BL22">
        <v>1934</v>
      </c>
      <c r="BM22">
        <v>1931</v>
      </c>
      <c r="BN22">
        <v>1934</v>
      </c>
      <c r="BO22">
        <v>1941</v>
      </c>
      <c r="BP22">
        <v>1948</v>
      </c>
      <c r="BQ22">
        <v>1953</v>
      </c>
      <c r="BR22">
        <v>1958</v>
      </c>
      <c r="BS22">
        <v>1963</v>
      </c>
      <c r="BT22">
        <v>1960</v>
      </c>
      <c r="BU22">
        <v>1960</v>
      </c>
      <c r="BV22">
        <v>1970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x14ac:dyDescent="0.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2140</v>
      </c>
      <c r="AG23">
        <v>2126</v>
      </c>
      <c r="AH23">
        <v>2113</v>
      </c>
      <c r="AI23">
        <v>2099</v>
      </c>
      <c r="AJ23">
        <v>2084</v>
      </c>
      <c r="AK23">
        <v>2068</v>
      </c>
      <c r="AL23">
        <v>2056</v>
      </c>
      <c r="AM23">
        <v>2043</v>
      </c>
      <c r="AN23">
        <v>2033</v>
      </c>
      <c r="AO23">
        <v>2027</v>
      </c>
      <c r="AP23">
        <v>2019</v>
      </c>
      <c r="AQ23">
        <v>2006</v>
      </c>
      <c r="AR23">
        <v>1994</v>
      </c>
      <c r="AS23">
        <v>1975</v>
      </c>
      <c r="AT23">
        <v>1956</v>
      </c>
      <c r="AU23">
        <v>1945</v>
      </c>
      <c r="AV23">
        <v>1938</v>
      </c>
      <c r="AW23">
        <v>1932</v>
      </c>
      <c r="AX23">
        <v>1943</v>
      </c>
      <c r="AY23">
        <v>1950</v>
      </c>
      <c r="AZ23">
        <v>1950</v>
      </c>
      <c r="BA23">
        <v>1952</v>
      </c>
      <c r="BB23">
        <v>1957</v>
      </c>
      <c r="BC23">
        <v>1965</v>
      </c>
      <c r="BD23">
        <v>1968</v>
      </c>
      <c r="BE23">
        <v>1972</v>
      </c>
      <c r="BF23">
        <v>1971</v>
      </c>
      <c r="BG23">
        <v>1962</v>
      </c>
      <c r="BH23">
        <v>1954</v>
      </c>
      <c r="BI23">
        <v>1952</v>
      </c>
      <c r="BJ23">
        <v>1948</v>
      </c>
      <c r="BK23">
        <v>1944</v>
      </c>
      <c r="BL23">
        <v>1933</v>
      </c>
      <c r="BM23">
        <v>1928</v>
      </c>
      <c r="BN23">
        <v>1930</v>
      </c>
      <c r="BO23">
        <v>1936</v>
      </c>
      <c r="BP23">
        <v>1945</v>
      </c>
      <c r="BQ23">
        <v>1953</v>
      </c>
      <c r="BR23">
        <v>1960</v>
      </c>
      <c r="BS23">
        <v>1969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x14ac:dyDescent="0.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2136</v>
      </c>
      <c r="AD24">
        <v>2141</v>
      </c>
      <c r="AE24">
        <v>2134</v>
      </c>
      <c r="AF24">
        <v>2123</v>
      </c>
      <c r="AG24">
        <v>2109</v>
      </c>
      <c r="AH24">
        <v>2095</v>
      </c>
      <c r="AI24">
        <v>2082</v>
      </c>
      <c r="AJ24">
        <v>2065</v>
      </c>
      <c r="AK24">
        <v>2052</v>
      </c>
      <c r="AL24">
        <v>2039</v>
      </c>
      <c r="AM24">
        <v>2028</v>
      </c>
      <c r="AN24">
        <v>2019</v>
      </c>
      <c r="AO24">
        <v>2012</v>
      </c>
      <c r="AP24">
        <v>2002</v>
      </c>
      <c r="AQ24">
        <v>1994</v>
      </c>
      <c r="AR24">
        <v>1988</v>
      </c>
      <c r="AS24">
        <v>1976</v>
      </c>
      <c r="AT24">
        <v>1958</v>
      </c>
      <c r="AU24">
        <v>1942</v>
      </c>
      <c r="AV24">
        <v>1930</v>
      </c>
      <c r="AW24">
        <v>1923</v>
      </c>
      <c r="AX24">
        <v>1933</v>
      </c>
      <c r="AY24">
        <v>1937</v>
      </c>
      <c r="AZ24">
        <v>1937</v>
      </c>
      <c r="BA24">
        <v>1942</v>
      </c>
      <c r="BB24">
        <v>1956</v>
      </c>
      <c r="BC24">
        <v>1960</v>
      </c>
      <c r="BD24">
        <v>1964</v>
      </c>
      <c r="BE24">
        <v>1968</v>
      </c>
      <c r="BF24">
        <v>1969</v>
      </c>
      <c r="BG24">
        <v>1960</v>
      </c>
      <c r="BH24">
        <v>1954</v>
      </c>
      <c r="BI24">
        <v>1949</v>
      </c>
      <c r="BJ24">
        <v>1948</v>
      </c>
      <c r="BK24">
        <v>1945</v>
      </c>
      <c r="BL24">
        <v>1931</v>
      </c>
      <c r="BM24">
        <v>1928</v>
      </c>
      <c r="BN24">
        <v>1928</v>
      </c>
      <c r="BO24">
        <v>1930</v>
      </c>
      <c r="BP24">
        <v>1939</v>
      </c>
      <c r="BQ24">
        <v>1950</v>
      </c>
      <c r="BR24">
        <v>1960</v>
      </c>
      <c r="BS24">
        <v>1970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x14ac:dyDescent="0.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2148</v>
      </c>
      <c r="AC25">
        <v>2123</v>
      </c>
      <c r="AD25">
        <v>2112</v>
      </c>
      <c r="AE25">
        <v>2112</v>
      </c>
      <c r="AF25">
        <v>2101</v>
      </c>
      <c r="AG25">
        <v>2090</v>
      </c>
      <c r="AH25">
        <v>2079</v>
      </c>
      <c r="AI25">
        <v>2064</v>
      </c>
      <c r="AJ25">
        <v>2051</v>
      </c>
      <c r="AK25">
        <v>2038</v>
      </c>
      <c r="AL25">
        <v>2022</v>
      </c>
      <c r="AM25">
        <v>2009</v>
      </c>
      <c r="AN25">
        <v>2002</v>
      </c>
      <c r="AO25">
        <v>1996</v>
      </c>
      <c r="AP25">
        <v>1989</v>
      </c>
      <c r="AQ25">
        <v>1980</v>
      </c>
      <c r="AR25">
        <v>1975</v>
      </c>
      <c r="AS25">
        <v>1970</v>
      </c>
      <c r="AT25">
        <v>1960</v>
      </c>
      <c r="AU25">
        <v>1941</v>
      </c>
      <c r="AV25">
        <v>1928</v>
      </c>
      <c r="AW25">
        <v>1918</v>
      </c>
      <c r="AX25">
        <v>1921</v>
      </c>
      <c r="AY25">
        <v>1925</v>
      </c>
      <c r="AZ25">
        <v>1926</v>
      </c>
      <c r="BA25">
        <v>1932</v>
      </c>
      <c r="BB25">
        <v>1947</v>
      </c>
      <c r="BC25">
        <v>1954</v>
      </c>
      <c r="BD25">
        <v>1957</v>
      </c>
      <c r="BE25">
        <v>1961</v>
      </c>
      <c r="BF25">
        <v>1964</v>
      </c>
      <c r="BG25">
        <v>1958</v>
      </c>
      <c r="BH25">
        <v>1948</v>
      </c>
      <c r="BI25">
        <v>1945</v>
      </c>
      <c r="BJ25">
        <v>1945</v>
      </c>
      <c r="BK25">
        <v>1945</v>
      </c>
      <c r="BL25">
        <v>1940</v>
      </c>
      <c r="BM25">
        <v>1932</v>
      </c>
      <c r="BN25">
        <v>1932</v>
      </c>
      <c r="BO25">
        <v>1928</v>
      </c>
      <c r="BP25">
        <v>1931</v>
      </c>
      <c r="BQ25">
        <v>1942</v>
      </c>
      <c r="BR25">
        <v>1951</v>
      </c>
      <c r="BS25">
        <v>1962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x14ac:dyDescent="0.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2157</v>
      </c>
      <c r="AA26">
        <v>2142</v>
      </c>
      <c r="AB26">
        <v>2120</v>
      </c>
      <c r="AC26">
        <v>2095</v>
      </c>
      <c r="AD26">
        <v>2086</v>
      </c>
      <c r="AE26">
        <v>2085</v>
      </c>
      <c r="AF26">
        <v>2079</v>
      </c>
      <c r="AG26">
        <v>2070</v>
      </c>
      <c r="AH26">
        <v>2060</v>
      </c>
      <c r="AI26">
        <v>2047</v>
      </c>
      <c r="AJ26">
        <v>2034</v>
      </c>
      <c r="AK26">
        <v>2018</v>
      </c>
      <c r="AL26">
        <v>2002</v>
      </c>
      <c r="AM26">
        <v>1991</v>
      </c>
      <c r="AN26">
        <v>1986</v>
      </c>
      <c r="AO26">
        <v>1981</v>
      </c>
      <c r="AP26">
        <v>1971</v>
      </c>
      <c r="AQ26">
        <v>1966</v>
      </c>
      <c r="AR26">
        <v>1962</v>
      </c>
      <c r="AS26">
        <v>1960</v>
      </c>
      <c r="AT26">
        <v>1955</v>
      </c>
      <c r="AU26">
        <v>1944</v>
      </c>
      <c r="AV26">
        <v>1925</v>
      </c>
      <c r="AW26">
        <v>1916</v>
      </c>
      <c r="AX26">
        <v>1909</v>
      </c>
      <c r="AY26">
        <v>1910</v>
      </c>
      <c r="AZ26">
        <v>1915</v>
      </c>
      <c r="BA26">
        <v>1923</v>
      </c>
      <c r="BB26">
        <v>1938</v>
      </c>
      <c r="BC26">
        <v>1947</v>
      </c>
      <c r="BD26">
        <v>1951</v>
      </c>
      <c r="BE26">
        <v>1954</v>
      </c>
      <c r="BF26">
        <v>1957</v>
      </c>
      <c r="BG26">
        <v>1953</v>
      </c>
      <c r="BH26">
        <v>1944</v>
      </c>
      <c r="BI26">
        <v>1940</v>
      </c>
      <c r="BJ26">
        <v>1942</v>
      </c>
      <c r="BK26">
        <v>1941</v>
      </c>
      <c r="BL26">
        <v>1941</v>
      </c>
      <c r="BM26">
        <v>1940</v>
      </c>
      <c r="BN26">
        <v>1933</v>
      </c>
      <c r="BO26">
        <v>1932</v>
      </c>
      <c r="BP26">
        <v>1925</v>
      </c>
      <c r="BQ26">
        <v>1932</v>
      </c>
      <c r="BR26">
        <v>1941</v>
      </c>
      <c r="BS26">
        <v>1948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2156</v>
      </c>
      <c r="Z27">
        <v>2135</v>
      </c>
      <c r="AA27">
        <v>2118</v>
      </c>
      <c r="AB27">
        <v>2100</v>
      </c>
      <c r="AC27">
        <v>2076</v>
      </c>
      <c r="AD27">
        <v>2058</v>
      </c>
      <c r="AE27">
        <v>2062</v>
      </c>
      <c r="AF27">
        <v>2059</v>
      </c>
      <c r="AG27">
        <v>2053</v>
      </c>
      <c r="AH27">
        <v>2042</v>
      </c>
      <c r="AI27">
        <v>2030</v>
      </c>
      <c r="AJ27">
        <v>2013</v>
      </c>
      <c r="AK27">
        <v>1995</v>
      </c>
      <c r="AL27">
        <v>1984</v>
      </c>
      <c r="AM27">
        <v>1978</v>
      </c>
      <c r="AN27">
        <v>1971</v>
      </c>
      <c r="AO27">
        <v>1963</v>
      </c>
      <c r="AP27">
        <v>1957</v>
      </c>
      <c r="AQ27">
        <v>1951</v>
      </c>
      <c r="AR27">
        <v>1951</v>
      </c>
      <c r="AS27">
        <v>1950</v>
      </c>
      <c r="AT27">
        <v>1949</v>
      </c>
      <c r="AU27">
        <v>1941</v>
      </c>
      <c r="AV27">
        <v>1929</v>
      </c>
      <c r="AW27">
        <v>1920</v>
      </c>
      <c r="AX27">
        <v>1909</v>
      </c>
      <c r="AY27">
        <v>1902</v>
      </c>
      <c r="AZ27">
        <v>1906</v>
      </c>
      <c r="BA27">
        <v>1916</v>
      </c>
      <c r="BB27">
        <v>1928</v>
      </c>
      <c r="BC27">
        <v>1943</v>
      </c>
      <c r="BD27">
        <v>1945</v>
      </c>
      <c r="BE27">
        <v>1947</v>
      </c>
      <c r="BF27">
        <v>1948</v>
      </c>
      <c r="BG27">
        <v>1944</v>
      </c>
      <c r="BH27">
        <v>1939</v>
      </c>
      <c r="BI27">
        <v>1935</v>
      </c>
      <c r="BJ27">
        <v>1935</v>
      </c>
      <c r="BK27">
        <v>1936</v>
      </c>
      <c r="BL27">
        <v>1940</v>
      </c>
      <c r="BM27">
        <v>1940</v>
      </c>
      <c r="BN27">
        <v>1937</v>
      </c>
      <c r="BO27">
        <v>1935</v>
      </c>
      <c r="BP27">
        <v>1924</v>
      </c>
      <c r="BQ27">
        <v>1926</v>
      </c>
      <c r="BR27">
        <v>1931</v>
      </c>
      <c r="BS27">
        <v>1935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2156</v>
      </c>
      <c r="Y28">
        <v>2133</v>
      </c>
      <c r="Z28">
        <v>2112</v>
      </c>
      <c r="AA28">
        <v>2096</v>
      </c>
      <c r="AB28">
        <v>2081</v>
      </c>
      <c r="AC28">
        <v>2062</v>
      </c>
      <c r="AD28">
        <v>2049</v>
      </c>
      <c r="AE28">
        <v>2046</v>
      </c>
      <c r="AF28">
        <v>2045</v>
      </c>
      <c r="AG28">
        <v>2037</v>
      </c>
      <c r="AH28">
        <v>2025</v>
      </c>
      <c r="AI28">
        <v>2012</v>
      </c>
      <c r="AJ28">
        <v>1996</v>
      </c>
      <c r="AK28">
        <v>1980</v>
      </c>
      <c r="AL28">
        <v>1971</v>
      </c>
      <c r="AM28">
        <v>1963</v>
      </c>
      <c r="AN28">
        <v>1955</v>
      </c>
      <c r="AO28">
        <v>1947</v>
      </c>
      <c r="AP28">
        <v>1943</v>
      </c>
      <c r="AQ28">
        <v>1939</v>
      </c>
      <c r="AR28">
        <v>1940</v>
      </c>
      <c r="AS28">
        <v>1941</v>
      </c>
      <c r="AT28">
        <v>1941</v>
      </c>
      <c r="AU28">
        <v>1937</v>
      </c>
      <c r="AV28">
        <v>1931</v>
      </c>
      <c r="AW28">
        <v>1922</v>
      </c>
      <c r="AX28">
        <v>1911</v>
      </c>
      <c r="AY28">
        <v>1897</v>
      </c>
      <c r="AZ28">
        <v>1900</v>
      </c>
      <c r="BA28">
        <v>1908</v>
      </c>
      <c r="BB28">
        <v>1921</v>
      </c>
      <c r="BC28">
        <v>1932</v>
      </c>
      <c r="BD28">
        <v>1937</v>
      </c>
      <c r="BE28">
        <v>1939</v>
      </c>
      <c r="BF28">
        <v>1939</v>
      </c>
      <c r="BG28">
        <v>1936</v>
      </c>
      <c r="BH28">
        <v>1934</v>
      </c>
      <c r="BI28">
        <v>1929</v>
      </c>
      <c r="BJ28">
        <v>1929</v>
      </c>
      <c r="BK28">
        <v>1929</v>
      </c>
      <c r="BL28">
        <v>1936</v>
      </c>
      <c r="BM28">
        <v>1940</v>
      </c>
      <c r="BN28">
        <v>1940</v>
      </c>
      <c r="BO28">
        <v>1938</v>
      </c>
      <c r="BP28">
        <v>1922</v>
      </c>
      <c r="BQ28">
        <v>1919</v>
      </c>
      <c r="BR28">
        <v>1925</v>
      </c>
      <c r="BS28">
        <v>1928</v>
      </c>
      <c r="BT28">
        <v>1928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x14ac:dyDescent="0.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2160</v>
      </c>
      <c r="W29">
        <v>2152</v>
      </c>
      <c r="X29">
        <v>2133</v>
      </c>
      <c r="Y29">
        <v>2108</v>
      </c>
      <c r="Z29">
        <v>2090</v>
      </c>
      <c r="AA29">
        <v>2077</v>
      </c>
      <c r="AB29">
        <v>2064</v>
      </c>
      <c r="AC29">
        <v>2053</v>
      </c>
      <c r="AD29">
        <v>2042</v>
      </c>
      <c r="AE29">
        <v>2034</v>
      </c>
      <c r="AF29">
        <v>2030</v>
      </c>
      <c r="AG29">
        <v>2021</v>
      </c>
      <c r="AH29">
        <v>2010</v>
      </c>
      <c r="AI29">
        <v>1998</v>
      </c>
      <c r="AJ29">
        <v>1982</v>
      </c>
      <c r="AK29">
        <v>1969</v>
      </c>
      <c r="AL29">
        <v>1959</v>
      </c>
      <c r="AM29">
        <v>1950</v>
      </c>
      <c r="AN29">
        <v>1943</v>
      </c>
      <c r="AO29">
        <v>1936</v>
      </c>
      <c r="AP29">
        <v>1930</v>
      </c>
      <c r="AQ29">
        <v>1928</v>
      </c>
      <c r="AR29">
        <v>1931</v>
      </c>
      <c r="AS29">
        <v>1931</v>
      </c>
      <c r="AT29">
        <v>1932</v>
      </c>
      <c r="AU29">
        <v>1933</v>
      </c>
      <c r="AV29">
        <v>1928</v>
      </c>
      <c r="AW29">
        <v>1922</v>
      </c>
      <c r="AX29">
        <v>1913</v>
      </c>
      <c r="AY29">
        <v>1901</v>
      </c>
      <c r="AZ29">
        <v>1894</v>
      </c>
      <c r="BA29">
        <v>1902</v>
      </c>
      <c r="BB29">
        <v>1914</v>
      </c>
      <c r="BC29">
        <v>1923</v>
      </c>
      <c r="BD29">
        <v>1926</v>
      </c>
      <c r="BE29">
        <v>1931</v>
      </c>
      <c r="BF29">
        <v>1930</v>
      </c>
      <c r="BG29">
        <v>1929</v>
      </c>
      <c r="BH29">
        <v>1929</v>
      </c>
      <c r="BI29">
        <v>1922</v>
      </c>
      <c r="BJ29">
        <v>1922</v>
      </c>
      <c r="BK29">
        <v>1923</v>
      </c>
      <c r="BL29">
        <v>1932</v>
      </c>
      <c r="BM29">
        <v>1940</v>
      </c>
      <c r="BN29">
        <v>1939</v>
      </c>
      <c r="BO29">
        <v>1935</v>
      </c>
      <c r="BP29">
        <v>1925</v>
      </c>
      <c r="BQ29">
        <v>1912</v>
      </c>
      <c r="BR29">
        <v>1920</v>
      </c>
      <c r="BS29">
        <v>1923</v>
      </c>
      <c r="BT29">
        <v>1923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x14ac:dyDescent="0.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2195</v>
      </c>
      <c r="U30">
        <v>2166</v>
      </c>
      <c r="V30">
        <v>2146</v>
      </c>
      <c r="W30">
        <v>2128</v>
      </c>
      <c r="X30">
        <v>2106</v>
      </c>
      <c r="Y30">
        <v>2085</v>
      </c>
      <c r="Z30">
        <v>2071</v>
      </c>
      <c r="AA30">
        <v>2060</v>
      </c>
      <c r="AB30">
        <v>2051</v>
      </c>
      <c r="AC30">
        <v>2041</v>
      </c>
      <c r="AD30">
        <v>2033</v>
      </c>
      <c r="AE30">
        <v>2029</v>
      </c>
      <c r="AF30">
        <v>2018</v>
      </c>
      <c r="AG30">
        <v>2008</v>
      </c>
      <c r="AH30">
        <v>2000</v>
      </c>
      <c r="AI30">
        <v>1988</v>
      </c>
      <c r="AJ30">
        <v>1974</v>
      </c>
      <c r="AK30">
        <v>1959</v>
      </c>
      <c r="AL30">
        <v>1947</v>
      </c>
      <c r="AM30">
        <v>1940</v>
      </c>
      <c r="AN30">
        <v>1931</v>
      </c>
      <c r="AO30">
        <v>1925</v>
      </c>
      <c r="AP30">
        <v>1920</v>
      </c>
      <c r="AQ30">
        <v>1918</v>
      </c>
      <c r="AR30">
        <v>1921</v>
      </c>
      <c r="AS30">
        <v>1922</v>
      </c>
      <c r="AT30">
        <v>1923</v>
      </c>
      <c r="AU30">
        <v>1926</v>
      </c>
      <c r="AV30">
        <v>1922</v>
      </c>
      <c r="AW30">
        <v>1917</v>
      </c>
      <c r="AX30">
        <v>1912</v>
      </c>
      <c r="AY30">
        <v>1899</v>
      </c>
      <c r="AZ30">
        <v>1889</v>
      </c>
      <c r="BA30">
        <v>1897</v>
      </c>
      <c r="BB30">
        <v>1911</v>
      </c>
      <c r="BC30">
        <v>1914</v>
      </c>
      <c r="BD30">
        <v>1915</v>
      </c>
      <c r="BE30">
        <v>1919</v>
      </c>
      <c r="BF30">
        <v>1919</v>
      </c>
      <c r="BG30">
        <v>1924</v>
      </c>
      <c r="BH30">
        <v>1925</v>
      </c>
      <c r="BI30">
        <v>1919</v>
      </c>
      <c r="BJ30">
        <v>1917</v>
      </c>
      <c r="BK30">
        <v>1918</v>
      </c>
      <c r="BL30">
        <v>1927</v>
      </c>
      <c r="BM30">
        <v>1936</v>
      </c>
      <c r="BN30">
        <v>1933</v>
      </c>
      <c r="BO30">
        <v>1928</v>
      </c>
      <c r="BP30">
        <v>1924</v>
      </c>
      <c r="BQ30">
        <v>1906</v>
      </c>
      <c r="BR30">
        <v>1910</v>
      </c>
      <c r="BS30">
        <v>1919</v>
      </c>
      <c r="BT30">
        <v>1919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x14ac:dyDescent="0.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2201</v>
      </c>
      <c r="T31">
        <v>2180</v>
      </c>
      <c r="U31">
        <v>2154</v>
      </c>
      <c r="V31">
        <v>2126</v>
      </c>
      <c r="W31">
        <v>2102</v>
      </c>
      <c r="X31">
        <v>2085</v>
      </c>
      <c r="Y31">
        <v>2068</v>
      </c>
      <c r="Z31">
        <v>2057</v>
      </c>
      <c r="AA31">
        <v>2049</v>
      </c>
      <c r="AB31">
        <v>2039</v>
      </c>
      <c r="AC31">
        <v>2030</v>
      </c>
      <c r="AD31">
        <v>2023</v>
      </c>
      <c r="AE31">
        <v>2018</v>
      </c>
      <c r="AF31">
        <v>2011</v>
      </c>
      <c r="AG31">
        <v>1997</v>
      </c>
      <c r="AH31">
        <v>1991</v>
      </c>
      <c r="AI31">
        <v>1983</v>
      </c>
      <c r="AJ31">
        <v>1968</v>
      </c>
      <c r="AK31">
        <v>1951</v>
      </c>
      <c r="AL31">
        <v>1940</v>
      </c>
      <c r="AM31">
        <v>1931</v>
      </c>
      <c r="AN31">
        <v>1925</v>
      </c>
      <c r="AO31">
        <v>1919</v>
      </c>
      <c r="AP31">
        <v>1914</v>
      </c>
      <c r="AQ31">
        <v>1912</v>
      </c>
      <c r="AR31">
        <v>1912</v>
      </c>
      <c r="AS31">
        <v>1914</v>
      </c>
      <c r="AT31">
        <v>1916</v>
      </c>
      <c r="AU31">
        <v>1917</v>
      </c>
      <c r="AV31">
        <v>1917</v>
      </c>
      <c r="AW31">
        <v>1912</v>
      </c>
      <c r="AX31">
        <v>1908</v>
      </c>
      <c r="AY31">
        <v>1895</v>
      </c>
      <c r="AZ31">
        <v>1884</v>
      </c>
      <c r="BA31">
        <v>1892</v>
      </c>
      <c r="BB31">
        <v>1904</v>
      </c>
      <c r="BC31">
        <v>1905</v>
      </c>
      <c r="BD31">
        <v>1905</v>
      </c>
      <c r="BE31">
        <v>1907</v>
      </c>
      <c r="BF31">
        <v>1911</v>
      </c>
      <c r="BG31">
        <v>1918</v>
      </c>
      <c r="BH31">
        <v>1918</v>
      </c>
      <c r="BI31">
        <v>1912</v>
      </c>
      <c r="BJ31">
        <v>1908</v>
      </c>
      <c r="BK31">
        <v>1915</v>
      </c>
      <c r="BL31">
        <v>1922</v>
      </c>
      <c r="BM31">
        <v>1929</v>
      </c>
      <c r="BN31">
        <v>1927</v>
      </c>
      <c r="BO31">
        <v>1921</v>
      </c>
      <c r="BP31">
        <v>1919</v>
      </c>
      <c r="BQ31">
        <v>1908</v>
      </c>
      <c r="BR31">
        <v>1894</v>
      </c>
      <c r="BS31">
        <v>1905</v>
      </c>
      <c r="BT31">
        <v>1912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x14ac:dyDescent="0.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2219</v>
      </c>
      <c r="R32">
        <v>2201</v>
      </c>
      <c r="S32">
        <v>2180</v>
      </c>
      <c r="T32">
        <v>2165</v>
      </c>
      <c r="U32">
        <v>2140</v>
      </c>
      <c r="V32">
        <v>2112</v>
      </c>
      <c r="W32">
        <v>2086</v>
      </c>
      <c r="X32">
        <v>2063</v>
      </c>
      <c r="Y32">
        <v>2053</v>
      </c>
      <c r="Z32">
        <v>2045</v>
      </c>
      <c r="AA32">
        <v>2037</v>
      </c>
      <c r="AB32">
        <v>2029</v>
      </c>
      <c r="AC32">
        <v>2021</v>
      </c>
      <c r="AD32">
        <v>2014</v>
      </c>
      <c r="AE32">
        <v>2008</v>
      </c>
      <c r="AF32">
        <v>2003</v>
      </c>
      <c r="AG32">
        <v>1992</v>
      </c>
      <c r="AH32">
        <v>1985</v>
      </c>
      <c r="AI32">
        <v>1977</v>
      </c>
      <c r="AJ32">
        <v>1964</v>
      </c>
      <c r="AK32">
        <v>1948</v>
      </c>
      <c r="AL32">
        <v>1934</v>
      </c>
      <c r="AM32">
        <v>1927</v>
      </c>
      <c r="AN32">
        <v>1920</v>
      </c>
      <c r="AO32">
        <v>1913</v>
      </c>
      <c r="AP32">
        <v>1908</v>
      </c>
      <c r="AQ32">
        <v>1906</v>
      </c>
      <c r="AR32">
        <v>1905</v>
      </c>
      <c r="AS32">
        <v>1906</v>
      </c>
      <c r="AT32">
        <v>1908</v>
      </c>
      <c r="AU32">
        <v>1910</v>
      </c>
      <c r="AV32">
        <v>1910</v>
      </c>
      <c r="AW32">
        <v>1909</v>
      </c>
      <c r="AX32">
        <v>1903</v>
      </c>
      <c r="AY32">
        <v>1892</v>
      </c>
      <c r="AZ32">
        <v>1882</v>
      </c>
      <c r="BA32">
        <v>1882</v>
      </c>
      <c r="BB32">
        <v>1888</v>
      </c>
      <c r="BC32">
        <v>1891</v>
      </c>
      <c r="BD32">
        <v>1894</v>
      </c>
      <c r="BE32">
        <v>1896</v>
      </c>
      <c r="BF32">
        <v>1903</v>
      </c>
      <c r="BG32">
        <v>1908</v>
      </c>
      <c r="BH32">
        <v>1908</v>
      </c>
      <c r="BI32">
        <v>1902</v>
      </c>
      <c r="BJ32">
        <v>1898</v>
      </c>
      <c r="BK32">
        <v>1908</v>
      </c>
      <c r="BL32">
        <v>1916</v>
      </c>
      <c r="BM32">
        <v>1922</v>
      </c>
      <c r="BN32">
        <v>1921</v>
      </c>
      <c r="BO32">
        <v>1915</v>
      </c>
      <c r="BP32">
        <v>1913</v>
      </c>
      <c r="BQ32">
        <v>1905</v>
      </c>
      <c r="BR32">
        <v>1890</v>
      </c>
      <c r="BS32">
        <v>1898</v>
      </c>
      <c r="BT32">
        <v>1908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x14ac:dyDescent="0.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2246</v>
      </c>
      <c r="Q33">
        <v>2209</v>
      </c>
      <c r="R33">
        <v>2184</v>
      </c>
      <c r="S33">
        <v>2167</v>
      </c>
      <c r="T33">
        <v>2153</v>
      </c>
      <c r="U33">
        <v>2131</v>
      </c>
      <c r="V33">
        <v>2105</v>
      </c>
      <c r="W33">
        <v>2075</v>
      </c>
      <c r="X33">
        <v>2051</v>
      </c>
      <c r="Y33">
        <v>2042</v>
      </c>
      <c r="Z33">
        <v>2036</v>
      </c>
      <c r="AA33">
        <v>2027</v>
      </c>
      <c r="AB33">
        <v>2019</v>
      </c>
      <c r="AC33">
        <v>2013</v>
      </c>
      <c r="AD33">
        <v>2006</v>
      </c>
      <c r="AE33">
        <v>2000</v>
      </c>
      <c r="AF33">
        <v>1996</v>
      </c>
      <c r="AG33">
        <v>1991</v>
      </c>
      <c r="AH33">
        <v>1983</v>
      </c>
      <c r="AI33">
        <v>1969</v>
      </c>
      <c r="AJ33">
        <v>1956</v>
      </c>
      <c r="AK33">
        <v>1943</v>
      </c>
      <c r="AL33">
        <v>1932</v>
      </c>
      <c r="AM33">
        <v>1921</v>
      </c>
      <c r="AN33">
        <v>1922</v>
      </c>
      <c r="AO33">
        <v>1920</v>
      </c>
      <c r="AP33">
        <v>1914</v>
      </c>
      <c r="AQ33">
        <v>1907</v>
      </c>
      <c r="AR33">
        <v>1902</v>
      </c>
      <c r="AS33">
        <v>1900</v>
      </c>
      <c r="AT33">
        <v>1900</v>
      </c>
      <c r="AU33">
        <v>1900</v>
      </c>
      <c r="AV33">
        <v>1902</v>
      </c>
      <c r="AW33">
        <v>1903</v>
      </c>
      <c r="AX33">
        <v>1898</v>
      </c>
      <c r="AY33">
        <v>1892</v>
      </c>
      <c r="AZ33">
        <v>1882</v>
      </c>
      <c r="BA33">
        <v>1876</v>
      </c>
      <c r="BB33">
        <v>1876</v>
      </c>
      <c r="BC33">
        <v>1879</v>
      </c>
      <c r="BD33">
        <v>1880</v>
      </c>
      <c r="BE33">
        <v>1884</v>
      </c>
      <c r="BF33">
        <v>1890</v>
      </c>
      <c r="BG33">
        <v>1893</v>
      </c>
      <c r="BH33">
        <v>1892</v>
      </c>
      <c r="BI33">
        <v>1889</v>
      </c>
      <c r="BJ33">
        <v>1890</v>
      </c>
      <c r="BK33">
        <v>1898</v>
      </c>
      <c r="BL33">
        <v>1907</v>
      </c>
      <c r="BM33">
        <v>1913</v>
      </c>
      <c r="BN33">
        <v>1912</v>
      </c>
      <c r="BO33">
        <v>1911</v>
      </c>
      <c r="BP33">
        <v>1910</v>
      </c>
      <c r="BQ33">
        <v>1895</v>
      </c>
      <c r="BR33">
        <v>1888</v>
      </c>
      <c r="BS33">
        <v>1900</v>
      </c>
      <c r="BT33">
        <v>1905</v>
      </c>
      <c r="BU33">
        <v>1906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x14ac:dyDescent="0.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2264</v>
      </c>
      <c r="P34">
        <v>2235</v>
      </c>
      <c r="Q34">
        <v>2200</v>
      </c>
      <c r="R34">
        <v>2174</v>
      </c>
      <c r="S34">
        <v>2160</v>
      </c>
      <c r="T34">
        <v>2148</v>
      </c>
      <c r="U34">
        <v>2126</v>
      </c>
      <c r="V34">
        <v>2100</v>
      </c>
      <c r="W34">
        <v>2075</v>
      </c>
      <c r="X34">
        <v>2052</v>
      </c>
      <c r="Y34">
        <v>2034</v>
      </c>
      <c r="Z34">
        <v>2026</v>
      </c>
      <c r="AA34">
        <v>2016</v>
      </c>
      <c r="AB34">
        <v>2011</v>
      </c>
      <c r="AC34">
        <v>2005</v>
      </c>
      <c r="AD34">
        <v>1999</v>
      </c>
      <c r="AE34">
        <v>1994</v>
      </c>
      <c r="AF34">
        <v>1990</v>
      </c>
      <c r="AG34">
        <v>1982</v>
      </c>
      <c r="AH34">
        <v>1975</v>
      </c>
      <c r="AI34">
        <v>1966</v>
      </c>
      <c r="AJ34">
        <v>1947</v>
      </c>
      <c r="AK34">
        <v>1937</v>
      </c>
      <c r="AL34">
        <v>1929</v>
      </c>
      <c r="AM34">
        <v>1932</v>
      </c>
      <c r="AN34">
        <v>1932</v>
      </c>
      <c r="AO34">
        <v>1933</v>
      </c>
      <c r="AP34">
        <v>1927</v>
      </c>
      <c r="AQ34">
        <v>1916</v>
      </c>
      <c r="AR34">
        <v>1905</v>
      </c>
      <c r="AS34">
        <v>1899</v>
      </c>
      <c r="AT34">
        <v>1894</v>
      </c>
      <c r="AU34">
        <v>1890</v>
      </c>
      <c r="AV34">
        <v>1884</v>
      </c>
      <c r="AW34">
        <v>1891</v>
      </c>
      <c r="AX34">
        <v>1890</v>
      </c>
      <c r="AY34">
        <v>1886</v>
      </c>
      <c r="AZ34">
        <v>1883</v>
      </c>
      <c r="BA34">
        <v>1876</v>
      </c>
      <c r="BB34">
        <v>1872</v>
      </c>
      <c r="BC34">
        <v>1870</v>
      </c>
      <c r="BD34">
        <v>1869</v>
      </c>
      <c r="BE34">
        <v>1871</v>
      </c>
      <c r="BF34">
        <v>1874</v>
      </c>
      <c r="BG34">
        <v>1877</v>
      </c>
      <c r="BH34">
        <v>1879</v>
      </c>
      <c r="BI34">
        <v>1874</v>
      </c>
      <c r="BJ34">
        <v>1882</v>
      </c>
      <c r="BK34">
        <v>1888</v>
      </c>
      <c r="BL34">
        <v>1896</v>
      </c>
      <c r="BM34">
        <v>1899</v>
      </c>
      <c r="BN34">
        <v>1896</v>
      </c>
      <c r="BO34">
        <v>1891</v>
      </c>
      <c r="BP34">
        <v>1891</v>
      </c>
      <c r="BQ34">
        <v>1871</v>
      </c>
      <c r="BR34">
        <v>1880</v>
      </c>
      <c r="BS34">
        <v>1890</v>
      </c>
      <c r="BT34">
        <v>1899</v>
      </c>
      <c r="BU34">
        <v>1899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x14ac:dyDescent="0.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2262</v>
      </c>
      <c r="O35">
        <v>2246</v>
      </c>
      <c r="P35">
        <v>2229</v>
      </c>
      <c r="Q35">
        <v>2201</v>
      </c>
      <c r="R35">
        <v>2164</v>
      </c>
      <c r="S35">
        <v>2153</v>
      </c>
      <c r="T35">
        <v>2141</v>
      </c>
      <c r="U35">
        <v>2117</v>
      </c>
      <c r="V35">
        <v>2097</v>
      </c>
      <c r="W35">
        <v>2076</v>
      </c>
      <c r="X35">
        <v>2055</v>
      </c>
      <c r="Y35">
        <v>2036</v>
      </c>
      <c r="Z35">
        <v>2024</v>
      </c>
      <c r="AA35">
        <v>2015</v>
      </c>
      <c r="AB35">
        <v>2007</v>
      </c>
      <c r="AC35">
        <v>1998</v>
      </c>
      <c r="AD35">
        <v>1993</v>
      </c>
      <c r="AE35">
        <v>1987</v>
      </c>
      <c r="AF35">
        <v>1982</v>
      </c>
      <c r="AG35">
        <v>1974</v>
      </c>
      <c r="AH35">
        <v>1964</v>
      </c>
      <c r="AI35">
        <v>1950</v>
      </c>
      <c r="AJ35">
        <v>1945</v>
      </c>
      <c r="AK35">
        <v>1937</v>
      </c>
      <c r="AL35">
        <v>1937</v>
      </c>
      <c r="AM35">
        <v>1949</v>
      </c>
      <c r="AN35">
        <v>1957</v>
      </c>
      <c r="AO35">
        <v>1957</v>
      </c>
      <c r="AP35">
        <v>1948</v>
      </c>
      <c r="AQ35">
        <v>1924</v>
      </c>
      <c r="AR35">
        <v>1909</v>
      </c>
      <c r="AS35">
        <v>1902</v>
      </c>
      <c r="AT35">
        <v>1897</v>
      </c>
      <c r="AU35">
        <v>1897</v>
      </c>
      <c r="AV35">
        <v>1889</v>
      </c>
      <c r="AW35">
        <v>1877</v>
      </c>
      <c r="AX35">
        <v>1873</v>
      </c>
      <c r="AY35">
        <v>1872</v>
      </c>
      <c r="AZ35">
        <v>1871</v>
      </c>
      <c r="BA35">
        <v>1872</v>
      </c>
      <c r="BB35">
        <v>1875</v>
      </c>
      <c r="BC35">
        <v>1867</v>
      </c>
      <c r="BD35">
        <v>1864</v>
      </c>
      <c r="BE35">
        <v>1865</v>
      </c>
      <c r="BF35">
        <v>1864</v>
      </c>
      <c r="BG35">
        <v>1865</v>
      </c>
      <c r="BH35">
        <v>1865</v>
      </c>
      <c r="BI35">
        <v>1866</v>
      </c>
      <c r="BJ35">
        <v>1874</v>
      </c>
      <c r="BK35">
        <v>1882</v>
      </c>
      <c r="BL35">
        <v>1884</v>
      </c>
      <c r="BM35">
        <v>1885</v>
      </c>
      <c r="BN35">
        <v>1886</v>
      </c>
      <c r="BO35">
        <v>1877</v>
      </c>
      <c r="BP35">
        <v>1871</v>
      </c>
      <c r="BQ35">
        <v>1858</v>
      </c>
      <c r="BR35">
        <v>1865</v>
      </c>
      <c r="BS35">
        <v>1876</v>
      </c>
      <c r="BT35">
        <v>1888</v>
      </c>
      <c r="BU35">
        <v>1897</v>
      </c>
      <c r="BV35">
        <v>1898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2245</v>
      </c>
      <c r="O36">
        <v>2233</v>
      </c>
      <c r="P36">
        <v>2221</v>
      </c>
      <c r="Q36">
        <v>2195</v>
      </c>
      <c r="R36">
        <v>2163</v>
      </c>
      <c r="S36">
        <v>2142</v>
      </c>
      <c r="T36">
        <v>2128</v>
      </c>
      <c r="U36">
        <v>2112</v>
      </c>
      <c r="V36">
        <v>2092</v>
      </c>
      <c r="W36">
        <v>2075</v>
      </c>
      <c r="X36">
        <v>2057</v>
      </c>
      <c r="Y36">
        <v>2043</v>
      </c>
      <c r="Z36">
        <v>2030</v>
      </c>
      <c r="AA36">
        <v>2017</v>
      </c>
      <c r="AB36">
        <v>2007</v>
      </c>
      <c r="AC36">
        <v>1998</v>
      </c>
      <c r="AD36">
        <v>1990</v>
      </c>
      <c r="AE36">
        <v>1981</v>
      </c>
      <c r="AF36">
        <v>1974</v>
      </c>
      <c r="AG36">
        <v>1967</v>
      </c>
      <c r="AH36">
        <v>1960</v>
      </c>
      <c r="AI36">
        <v>1957</v>
      </c>
      <c r="AJ36">
        <v>1948</v>
      </c>
      <c r="AK36">
        <v>1940</v>
      </c>
      <c r="AL36">
        <v>1945</v>
      </c>
      <c r="AM36">
        <v>1959</v>
      </c>
      <c r="AN36">
        <v>1962</v>
      </c>
      <c r="AO36">
        <v>1962</v>
      </c>
      <c r="AP36">
        <v>1951</v>
      </c>
      <c r="AQ36">
        <v>1934</v>
      </c>
      <c r="AR36">
        <v>1919</v>
      </c>
      <c r="AS36">
        <v>1906</v>
      </c>
      <c r="AT36">
        <v>1904</v>
      </c>
      <c r="AU36">
        <v>1902</v>
      </c>
      <c r="AV36">
        <v>1893</v>
      </c>
      <c r="AW36">
        <v>1881</v>
      </c>
      <c r="AX36">
        <v>1874</v>
      </c>
      <c r="AY36">
        <v>1871</v>
      </c>
      <c r="AZ36">
        <v>1867</v>
      </c>
      <c r="BA36">
        <v>1863</v>
      </c>
      <c r="BB36">
        <v>1865</v>
      </c>
      <c r="BC36">
        <v>1859</v>
      </c>
      <c r="BD36">
        <v>1858</v>
      </c>
      <c r="BE36">
        <v>1858</v>
      </c>
      <c r="BF36">
        <v>1857</v>
      </c>
      <c r="BG36">
        <v>1858</v>
      </c>
      <c r="BH36">
        <v>1858</v>
      </c>
      <c r="BI36">
        <v>1861</v>
      </c>
      <c r="BJ36">
        <v>1854</v>
      </c>
      <c r="BK36">
        <v>1853</v>
      </c>
      <c r="BL36">
        <v>1853</v>
      </c>
      <c r="BM36">
        <v>1870</v>
      </c>
      <c r="BN36">
        <v>1872</v>
      </c>
      <c r="BO36">
        <v>1864</v>
      </c>
      <c r="BP36">
        <v>1860</v>
      </c>
      <c r="BQ36">
        <v>1852</v>
      </c>
      <c r="BR36">
        <v>1853</v>
      </c>
      <c r="BS36">
        <v>1860</v>
      </c>
      <c r="BT36">
        <v>1875</v>
      </c>
      <c r="BU36">
        <v>1889</v>
      </c>
      <c r="BV36">
        <v>1883</v>
      </c>
      <c r="BW36">
        <v>1878</v>
      </c>
      <c r="BX36">
        <v>0</v>
      </c>
      <c r="BY36">
        <v>0</v>
      </c>
      <c r="BZ36">
        <v>0</v>
      </c>
      <c r="CA36">
        <v>0</v>
      </c>
    </row>
    <row r="37" spans="1:79" x14ac:dyDescent="0.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2250</v>
      </c>
      <c r="N37">
        <v>2237</v>
      </c>
      <c r="O37">
        <v>2226</v>
      </c>
      <c r="P37">
        <v>2212</v>
      </c>
      <c r="Q37">
        <v>2192</v>
      </c>
      <c r="R37">
        <v>2159</v>
      </c>
      <c r="S37">
        <v>2141</v>
      </c>
      <c r="T37">
        <v>2123</v>
      </c>
      <c r="U37">
        <v>2102</v>
      </c>
      <c r="V37">
        <v>2085</v>
      </c>
      <c r="W37">
        <v>2067</v>
      </c>
      <c r="X37">
        <v>2053</v>
      </c>
      <c r="Y37">
        <v>2043</v>
      </c>
      <c r="Z37">
        <v>2030</v>
      </c>
      <c r="AA37">
        <v>2017</v>
      </c>
      <c r="AB37">
        <v>2008</v>
      </c>
      <c r="AC37">
        <v>2003</v>
      </c>
      <c r="AD37">
        <v>1995</v>
      </c>
      <c r="AE37">
        <v>1984</v>
      </c>
      <c r="AF37">
        <v>1977</v>
      </c>
      <c r="AG37">
        <v>1972</v>
      </c>
      <c r="AH37">
        <v>1968</v>
      </c>
      <c r="AI37">
        <v>1965</v>
      </c>
      <c r="AJ37">
        <v>1955</v>
      </c>
      <c r="AK37">
        <v>1944</v>
      </c>
      <c r="AL37">
        <v>1948</v>
      </c>
      <c r="AM37">
        <v>1958</v>
      </c>
      <c r="AN37">
        <v>1963</v>
      </c>
      <c r="AO37">
        <v>1960</v>
      </c>
      <c r="AP37">
        <v>1947</v>
      </c>
      <c r="AQ37">
        <v>1934</v>
      </c>
      <c r="AR37">
        <v>1923</v>
      </c>
      <c r="AS37">
        <v>1910</v>
      </c>
      <c r="AT37">
        <v>1911</v>
      </c>
      <c r="AU37">
        <v>1907</v>
      </c>
      <c r="AV37">
        <v>1892</v>
      </c>
      <c r="AW37">
        <v>1883</v>
      </c>
      <c r="AX37">
        <v>1878</v>
      </c>
      <c r="AY37">
        <v>1874</v>
      </c>
      <c r="AZ37">
        <v>1869</v>
      </c>
      <c r="BA37">
        <v>1866</v>
      </c>
      <c r="BB37">
        <v>1863</v>
      </c>
      <c r="BC37">
        <v>1861</v>
      </c>
      <c r="BD37">
        <v>1858</v>
      </c>
      <c r="BE37">
        <v>1856</v>
      </c>
      <c r="BF37">
        <v>1855</v>
      </c>
      <c r="BG37">
        <v>1857</v>
      </c>
      <c r="BH37">
        <v>1855</v>
      </c>
      <c r="BI37">
        <v>1856</v>
      </c>
      <c r="BJ37">
        <v>1859</v>
      </c>
      <c r="BK37">
        <v>1861</v>
      </c>
      <c r="BL37">
        <v>1860</v>
      </c>
      <c r="BM37">
        <v>1857</v>
      </c>
      <c r="BN37">
        <v>1839</v>
      </c>
      <c r="BO37">
        <v>1849</v>
      </c>
      <c r="BP37">
        <v>1845</v>
      </c>
      <c r="BQ37">
        <v>1844</v>
      </c>
      <c r="BR37">
        <v>1845</v>
      </c>
      <c r="BS37">
        <v>1849</v>
      </c>
      <c r="BT37">
        <v>1857</v>
      </c>
      <c r="BU37">
        <v>1864</v>
      </c>
      <c r="BV37">
        <v>1853</v>
      </c>
      <c r="BW37">
        <v>1868</v>
      </c>
      <c r="BX37">
        <v>0</v>
      </c>
      <c r="BY37">
        <v>0</v>
      </c>
      <c r="BZ37">
        <v>0</v>
      </c>
      <c r="CA37">
        <v>0</v>
      </c>
    </row>
    <row r="38" spans="1:79" x14ac:dyDescent="0.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2277</v>
      </c>
      <c r="L38">
        <v>2256</v>
      </c>
      <c r="M38">
        <v>2244</v>
      </c>
      <c r="N38">
        <v>2230</v>
      </c>
      <c r="O38">
        <v>2219</v>
      </c>
      <c r="P38">
        <v>2207</v>
      </c>
      <c r="Q38">
        <v>2189</v>
      </c>
      <c r="R38">
        <v>2161</v>
      </c>
      <c r="S38">
        <v>2148</v>
      </c>
      <c r="T38">
        <v>2125</v>
      </c>
      <c r="U38">
        <v>2109</v>
      </c>
      <c r="V38">
        <v>2095</v>
      </c>
      <c r="W38">
        <v>2076</v>
      </c>
      <c r="X38">
        <v>2055</v>
      </c>
      <c r="Y38">
        <v>2049</v>
      </c>
      <c r="Z38">
        <v>2038</v>
      </c>
      <c r="AA38">
        <v>2024</v>
      </c>
      <c r="AB38">
        <v>2013</v>
      </c>
      <c r="AC38">
        <v>2008</v>
      </c>
      <c r="AD38">
        <v>2000</v>
      </c>
      <c r="AE38">
        <v>1990</v>
      </c>
      <c r="AF38">
        <v>1986</v>
      </c>
      <c r="AG38">
        <v>1982</v>
      </c>
      <c r="AH38">
        <v>1976</v>
      </c>
      <c r="AI38">
        <v>1973</v>
      </c>
      <c r="AJ38">
        <v>1963</v>
      </c>
      <c r="AK38">
        <v>1950</v>
      </c>
      <c r="AL38">
        <v>1950</v>
      </c>
      <c r="AM38">
        <v>1956</v>
      </c>
      <c r="AN38">
        <v>1964</v>
      </c>
      <c r="AO38">
        <v>1957</v>
      </c>
      <c r="AP38">
        <v>1941</v>
      </c>
      <c r="AQ38">
        <v>1932</v>
      </c>
      <c r="AR38">
        <v>1924</v>
      </c>
      <c r="AS38">
        <v>1918</v>
      </c>
      <c r="AT38">
        <v>1920</v>
      </c>
      <c r="AU38">
        <v>1915</v>
      </c>
      <c r="AV38">
        <v>1900</v>
      </c>
      <c r="AW38">
        <v>1889</v>
      </c>
      <c r="AX38">
        <v>1882</v>
      </c>
      <c r="AY38">
        <v>1877</v>
      </c>
      <c r="AZ38">
        <v>1872</v>
      </c>
      <c r="BA38">
        <v>1869</v>
      </c>
      <c r="BB38">
        <v>1867</v>
      </c>
      <c r="BC38">
        <v>1865</v>
      </c>
      <c r="BD38">
        <v>1861</v>
      </c>
      <c r="BE38">
        <v>1858</v>
      </c>
      <c r="BF38">
        <v>1857</v>
      </c>
      <c r="BG38">
        <v>1857</v>
      </c>
      <c r="BH38">
        <v>1856</v>
      </c>
      <c r="BI38">
        <v>1850</v>
      </c>
      <c r="BJ38">
        <v>1846</v>
      </c>
      <c r="BK38">
        <v>1846</v>
      </c>
      <c r="BL38">
        <v>1846</v>
      </c>
      <c r="BM38">
        <v>1846</v>
      </c>
      <c r="BN38">
        <v>1843</v>
      </c>
      <c r="BO38">
        <v>1843</v>
      </c>
      <c r="BP38">
        <v>1840</v>
      </c>
      <c r="BQ38">
        <v>1838</v>
      </c>
      <c r="BR38">
        <v>1836</v>
      </c>
      <c r="BS38">
        <v>1835</v>
      </c>
      <c r="BT38">
        <v>1838</v>
      </c>
      <c r="BU38">
        <v>1842</v>
      </c>
      <c r="BV38">
        <v>1844</v>
      </c>
      <c r="BW38">
        <v>1831</v>
      </c>
      <c r="BX38">
        <v>1815</v>
      </c>
      <c r="BY38">
        <v>0</v>
      </c>
      <c r="BZ38">
        <v>0</v>
      </c>
      <c r="CA38">
        <v>0</v>
      </c>
    </row>
    <row r="39" spans="1:79" x14ac:dyDescent="0.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2343</v>
      </c>
      <c r="I39">
        <v>2316</v>
      </c>
      <c r="J39">
        <v>2296</v>
      </c>
      <c r="K39">
        <v>2272</v>
      </c>
      <c r="L39">
        <v>2255</v>
      </c>
      <c r="M39">
        <v>2237</v>
      </c>
      <c r="N39">
        <v>2225</v>
      </c>
      <c r="O39">
        <v>2216</v>
      </c>
      <c r="P39">
        <v>2204</v>
      </c>
      <c r="Q39">
        <v>2187</v>
      </c>
      <c r="R39">
        <v>2170</v>
      </c>
      <c r="S39">
        <v>2154</v>
      </c>
      <c r="T39">
        <v>2140</v>
      </c>
      <c r="U39">
        <v>2116</v>
      </c>
      <c r="V39">
        <v>2099</v>
      </c>
      <c r="W39">
        <v>2079</v>
      </c>
      <c r="X39">
        <v>2064</v>
      </c>
      <c r="Y39">
        <v>2060</v>
      </c>
      <c r="Z39">
        <v>2049</v>
      </c>
      <c r="AA39">
        <v>2030</v>
      </c>
      <c r="AB39">
        <v>2020</v>
      </c>
      <c r="AC39">
        <v>2014</v>
      </c>
      <c r="AD39">
        <v>2003</v>
      </c>
      <c r="AE39">
        <v>1998</v>
      </c>
      <c r="AF39">
        <v>1994</v>
      </c>
      <c r="AG39">
        <v>1986</v>
      </c>
      <c r="AH39">
        <v>1980</v>
      </c>
      <c r="AI39">
        <v>1979</v>
      </c>
      <c r="AJ39">
        <v>1969</v>
      </c>
      <c r="AK39">
        <v>1955</v>
      </c>
      <c r="AL39">
        <v>1954</v>
      </c>
      <c r="AM39">
        <v>1958</v>
      </c>
      <c r="AN39">
        <v>1967</v>
      </c>
      <c r="AO39">
        <v>1963</v>
      </c>
      <c r="AP39">
        <v>1944</v>
      </c>
      <c r="AQ39">
        <v>1937</v>
      </c>
      <c r="AR39">
        <v>1928</v>
      </c>
      <c r="AS39">
        <v>1929</v>
      </c>
      <c r="AT39">
        <v>1933</v>
      </c>
      <c r="AU39">
        <v>1930</v>
      </c>
      <c r="AV39">
        <v>1918</v>
      </c>
      <c r="AW39">
        <v>1898</v>
      </c>
      <c r="AX39">
        <v>1887</v>
      </c>
      <c r="AY39">
        <v>1882</v>
      </c>
      <c r="AZ39">
        <v>1876</v>
      </c>
      <c r="BA39">
        <v>1873</v>
      </c>
      <c r="BB39">
        <v>1872</v>
      </c>
      <c r="BC39">
        <v>1870</v>
      </c>
      <c r="BD39">
        <v>1868</v>
      </c>
      <c r="BE39">
        <v>1865</v>
      </c>
      <c r="BF39">
        <v>1862</v>
      </c>
      <c r="BG39">
        <v>1859</v>
      </c>
      <c r="BH39">
        <v>1857</v>
      </c>
      <c r="BI39">
        <v>1856</v>
      </c>
      <c r="BJ39">
        <v>1860</v>
      </c>
      <c r="BK39">
        <v>1868</v>
      </c>
      <c r="BL39">
        <v>1874</v>
      </c>
      <c r="BM39">
        <v>1866</v>
      </c>
      <c r="BN39">
        <v>1836</v>
      </c>
      <c r="BO39">
        <v>1847</v>
      </c>
      <c r="BP39">
        <v>1838</v>
      </c>
      <c r="BQ39">
        <v>1833</v>
      </c>
      <c r="BR39">
        <v>1804</v>
      </c>
      <c r="BS39">
        <v>1805</v>
      </c>
      <c r="BT39">
        <v>1808</v>
      </c>
      <c r="BU39">
        <v>1811</v>
      </c>
      <c r="BV39">
        <v>1814</v>
      </c>
      <c r="BW39">
        <v>1814</v>
      </c>
      <c r="BX39">
        <v>1813</v>
      </c>
      <c r="BY39">
        <v>0</v>
      </c>
      <c r="BZ39">
        <v>0</v>
      </c>
      <c r="CA39">
        <v>0</v>
      </c>
    </row>
    <row r="40" spans="1:79" x14ac:dyDescent="0.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2367</v>
      </c>
      <c r="H40">
        <v>2345</v>
      </c>
      <c r="I40">
        <v>2316</v>
      </c>
      <c r="J40">
        <v>2293</v>
      </c>
      <c r="K40">
        <v>2271</v>
      </c>
      <c r="L40">
        <v>2251</v>
      </c>
      <c r="M40">
        <v>2238</v>
      </c>
      <c r="N40">
        <v>2227</v>
      </c>
      <c r="O40">
        <v>2216</v>
      </c>
      <c r="P40">
        <v>2206</v>
      </c>
      <c r="Q40">
        <v>2194</v>
      </c>
      <c r="R40">
        <v>2179</v>
      </c>
      <c r="S40">
        <v>2164</v>
      </c>
      <c r="T40">
        <v>2144</v>
      </c>
      <c r="U40">
        <v>2121</v>
      </c>
      <c r="V40">
        <v>2101</v>
      </c>
      <c r="W40">
        <v>2085</v>
      </c>
      <c r="X40">
        <v>2081</v>
      </c>
      <c r="Y40">
        <v>2080</v>
      </c>
      <c r="Z40">
        <v>2060</v>
      </c>
      <c r="AA40">
        <v>2045</v>
      </c>
      <c r="AB40">
        <v>2033</v>
      </c>
      <c r="AC40">
        <v>2021</v>
      </c>
      <c r="AD40">
        <v>2010</v>
      </c>
      <c r="AE40">
        <v>2007</v>
      </c>
      <c r="AF40">
        <v>1999</v>
      </c>
      <c r="AG40">
        <v>1993</v>
      </c>
      <c r="AH40">
        <v>1988</v>
      </c>
      <c r="AI40">
        <v>1984</v>
      </c>
      <c r="AJ40">
        <v>1974</v>
      </c>
      <c r="AK40">
        <v>1957</v>
      </c>
      <c r="AL40">
        <v>1961</v>
      </c>
      <c r="AM40">
        <v>1970</v>
      </c>
      <c r="AN40">
        <v>1973</v>
      </c>
      <c r="AO40">
        <v>1972</v>
      </c>
      <c r="AP40">
        <v>1963</v>
      </c>
      <c r="AQ40">
        <v>1946</v>
      </c>
      <c r="AR40">
        <v>1935</v>
      </c>
      <c r="AS40">
        <v>1937</v>
      </c>
      <c r="AT40">
        <v>1947</v>
      </c>
      <c r="AU40">
        <v>1942</v>
      </c>
      <c r="AV40">
        <v>1927</v>
      </c>
      <c r="AW40">
        <v>1906</v>
      </c>
      <c r="AX40">
        <v>1897</v>
      </c>
      <c r="AY40">
        <v>1888</v>
      </c>
      <c r="AZ40">
        <v>1883</v>
      </c>
      <c r="BA40">
        <v>1883</v>
      </c>
      <c r="BB40">
        <v>1880</v>
      </c>
      <c r="BC40">
        <v>1881</v>
      </c>
      <c r="BD40">
        <v>1882</v>
      </c>
      <c r="BE40">
        <v>1879</v>
      </c>
      <c r="BF40">
        <v>1882</v>
      </c>
      <c r="BG40">
        <v>1877</v>
      </c>
      <c r="BH40">
        <v>1863</v>
      </c>
      <c r="BI40">
        <v>1861</v>
      </c>
      <c r="BJ40">
        <v>1870</v>
      </c>
      <c r="BK40">
        <v>1884</v>
      </c>
      <c r="BL40">
        <v>1889</v>
      </c>
      <c r="BM40">
        <v>1891</v>
      </c>
      <c r="BN40">
        <v>1873</v>
      </c>
      <c r="BO40">
        <v>1874</v>
      </c>
      <c r="BP40">
        <v>1856</v>
      </c>
      <c r="BQ40">
        <v>1849</v>
      </c>
      <c r="BR40">
        <v>1844</v>
      </c>
      <c r="BS40">
        <v>1840</v>
      </c>
      <c r="BT40">
        <v>1836</v>
      </c>
      <c r="BU40">
        <v>1833</v>
      </c>
      <c r="BV40">
        <v>1831</v>
      </c>
      <c r="BW40">
        <v>1829</v>
      </c>
      <c r="BX40">
        <v>1815</v>
      </c>
      <c r="BY40">
        <v>0</v>
      </c>
      <c r="BZ40">
        <v>0</v>
      </c>
      <c r="CA40">
        <v>0</v>
      </c>
    </row>
    <row r="41" spans="1:79" x14ac:dyDescent="0.5">
      <c r="A41">
        <v>0</v>
      </c>
      <c r="B41">
        <v>0</v>
      </c>
      <c r="C41">
        <v>0</v>
      </c>
      <c r="D41">
        <v>0</v>
      </c>
      <c r="E41">
        <v>0</v>
      </c>
      <c r="F41">
        <v>2401</v>
      </c>
      <c r="G41">
        <v>2385</v>
      </c>
      <c r="H41">
        <v>2350</v>
      </c>
      <c r="I41">
        <v>2326</v>
      </c>
      <c r="J41">
        <v>2301</v>
      </c>
      <c r="K41">
        <v>2276</v>
      </c>
      <c r="L41">
        <v>2256</v>
      </c>
      <c r="M41">
        <v>2240</v>
      </c>
      <c r="N41">
        <v>2229</v>
      </c>
      <c r="O41">
        <v>2223</v>
      </c>
      <c r="P41">
        <v>2215</v>
      </c>
      <c r="Q41">
        <v>2205</v>
      </c>
      <c r="R41">
        <v>2192</v>
      </c>
      <c r="S41">
        <v>2166</v>
      </c>
      <c r="T41">
        <v>2147</v>
      </c>
      <c r="U41">
        <v>2131</v>
      </c>
      <c r="V41">
        <v>2111</v>
      </c>
      <c r="W41">
        <v>2098</v>
      </c>
      <c r="X41">
        <v>2094</v>
      </c>
      <c r="Y41">
        <v>2090</v>
      </c>
      <c r="Z41">
        <v>2077</v>
      </c>
      <c r="AA41">
        <v>2056</v>
      </c>
      <c r="AB41">
        <v>2042</v>
      </c>
      <c r="AC41">
        <v>2025</v>
      </c>
      <c r="AD41">
        <v>2021</v>
      </c>
      <c r="AE41">
        <v>2012</v>
      </c>
      <c r="AF41">
        <v>2004</v>
      </c>
      <c r="AG41">
        <v>1997</v>
      </c>
      <c r="AH41">
        <v>1992</v>
      </c>
      <c r="AI41">
        <v>1987</v>
      </c>
      <c r="AJ41">
        <v>1976</v>
      </c>
      <c r="AK41">
        <v>1963</v>
      </c>
      <c r="AL41">
        <v>1973</v>
      </c>
      <c r="AM41">
        <v>1982</v>
      </c>
      <c r="AN41">
        <v>1983</v>
      </c>
      <c r="AO41">
        <v>1979</v>
      </c>
      <c r="AP41">
        <v>1973</v>
      </c>
      <c r="AQ41">
        <v>1958</v>
      </c>
      <c r="AR41">
        <v>1945</v>
      </c>
      <c r="AS41">
        <v>1943</v>
      </c>
      <c r="AT41">
        <v>1959</v>
      </c>
      <c r="AU41">
        <v>1954</v>
      </c>
      <c r="AV41">
        <v>1937</v>
      </c>
      <c r="AW41">
        <v>1922</v>
      </c>
      <c r="AX41">
        <v>1905</v>
      </c>
      <c r="AY41">
        <v>1899</v>
      </c>
      <c r="AZ41">
        <v>1895</v>
      </c>
      <c r="BA41">
        <v>1897</v>
      </c>
      <c r="BB41">
        <v>1896</v>
      </c>
      <c r="BC41">
        <v>1895</v>
      </c>
      <c r="BD41">
        <v>1902</v>
      </c>
      <c r="BE41">
        <v>1895</v>
      </c>
      <c r="BF41">
        <v>1900</v>
      </c>
      <c r="BG41">
        <v>1885</v>
      </c>
      <c r="BH41">
        <v>1872</v>
      </c>
      <c r="BI41">
        <v>1868</v>
      </c>
      <c r="BJ41">
        <v>1879</v>
      </c>
      <c r="BK41">
        <v>1890</v>
      </c>
      <c r="BL41">
        <v>1897</v>
      </c>
      <c r="BM41">
        <v>1900</v>
      </c>
      <c r="BN41">
        <v>1900</v>
      </c>
      <c r="BO41">
        <v>1887</v>
      </c>
      <c r="BP41">
        <v>1860</v>
      </c>
      <c r="BQ41">
        <v>1847</v>
      </c>
      <c r="BR41">
        <v>1839</v>
      </c>
      <c r="BS41">
        <v>1834</v>
      </c>
      <c r="BT41">
        <v>1829</v>
      </c>
      <c r="BU41">
        <v>1826</v>
      </c>
      <c r="BV41">
        <v>1823</v>
      </c>
      <c r="BW41">
        <v>1823</v>
      </c>
      <c r="BX41">
        <v>0</v>
      </c>
      <c r="BY41">
        <v>0</v>
      </c>
      <c r="BZ41">
        <v>0</v>
      </c>
      <c r="CA41">
        <v>0</v>
      </c>
    </row>
    <row r="42" spans="1:79" x14ac:dyDescent="0.5">
      <c r="A42">
        <v>0</v>
      </c>
      <c r="B42">
        <v>0</v>
      </c>
      <c r="C42">
        <v>0</v>
      </c>
      <c r="D42">
        <v>0</v>
      </c>
      <c r="E42">
        <v>0</v>
      </c>
      <c r="F42">
        <v>2418</v>
      </c>
      <c r="G42">
        <v>2406</v>
      </c>
      <c r="H42">
        <v>2374</v>
      </c>
      <c r="I42">
        <v>2346</v>
      </c>
      <c r="J42">
        <v>2315</v>
      </c>
      <c r="K42">
        <v>2282</v>
      </c>
      <c r="L42">
        <v>2261</v>
      </c>
      <c r="M42">
        <v>2249</v>
      </c>
      <c r="N42">
        <v>2239</v>
      </c>
      <c r="O42">
        <v>2240</v>
      </c>
      <c r="P42">
        <v>2235</v>
      </c>
      <c r="Q42">
        <v>2228</v>
      </c>
      <c r="R42">
        <v>2208</v>
      </c>
      <c r="S42">
        <v>2177</v>
      </c>
      <c r="T42">
        <v>2155</v>
      </c>
      <c r="U42">
        <v>2137</v>
      </c>
      <c r="V42">
        <v>2123</v>
      </c>
      <c r="W42">
        <v>2105</v>
      </c>
      <c r="X42">
        <v>2091</v>
      </c>
      <c r="Y42">
        <v>2083</v>
      </c>
      <c r="Z42">
        <v>2071</v>
      </c>
      <c r="AA42">
        <v>2053</v>
      </c>
      <c r="AB42">
        <v>2042</v>
      </c>
      <c r="AC42">
        <v>2035</v>
      </c>
      <c r="AD42">
        <v>2026</v>
      </c>
      <c r="AE42">
        <v>2016</v>
      </c>
      <c r="AF42">
        <v>2006</v>
      </c>
      <c r="AG42">
        <v>2002</v>
      </c>
      <c r="AH42">
        <v>1997</v>
      </c>
      <c r="AI42">
        <v>1990</v>
      </c>
      <c r="AJ42">
        <v>1977</v>
      </c>
      <c r="AK42">
        <v>1973</v>
      </c>
      <c r="AL42">
        <v>1989</v>
      </c>
      <c r="AM42">
        <v>1994</v>
      </c>
      <c r="AN42">
        <v>1991</v>
      </c>
      <c r="AO42">
        <v>1988</v>
      </c>
      <c r="AP42">
        <v>1979</v>
      </c>
      <c r="AQ42">
        <v>1966</v>
      </c>
      <c r="AR42">
        <v>1958</v>
      </c>
      <c r="AS42">
        <v>1953</v>
      </c>
      <c r="AT42">
        <v>1955</v>
      </c>
      <c r="AU42">
        <v>1965</v>
      </c>
      <c r="AV42">
        <v>1959</v>
      </c>
      <c r="AW42">
        <v>1946</v>
      </c>
      <c r="AX42">
        <v>1918</v>
      </c>
      <c r="AY42">
        <v>1914</v>
      </c>
      <c r="AZ42">
        <v>1912</v>
      </c>
      <c r="BA42">
        <v>1915</v>
      </c>
      <c r="BB42">
        <v>1917</v>
      </c>
      <c r="BC42">
        <v>1917</v>
      </c>
      <c r="BD42">
        <v>1917</v>
      </c>
      <c r="BE42">
        <v>1913</v>
      </c>
      <c r="BF42">
        <v>1903</v>
      </c>
      <c r="BG42">
        <v>1888</v>
      </c>
      <c r="BH42">
        <v>1878</v>
      </c>
      <c r="BI42">
        <v>1876</v>
      </c>
      <c r="BJ42">
        <v>1887</v>
      </c>
      <c r="BK42">
        <v>1898</v>
      </c>
      <c r="BL42">
        <v>1904</v>
      </c>
      <c r="BM42">
        <v>1906</v>
      </c>
      <c r="BN42">
        <v>1902</v>
      </c>
      <c r="BO42">
        <v>1888</v>
      </c>
      <c r="BP42">
        <v>1867</v>
      </c>
      <c r="BQ42">
        <v>1852</v>
      </c>
      <c r="BR42">
        <v>1844</v>
      </c>
      <c r="BS42">
        <v>1837</v>
      </c>
      <c r="BT42">
        <v>1831</v>
      </c>
      <c r="BU42">
        <v>1829</v>
      </c>
      <c r="BV42">
        <v>1828</v>
      </c>
      <c r="BW42">
        <v>1827</v>
      </c>
      <c r="BX42">
        <v>0</v>
      </c>
      <c r="BY42">
        <v>0</v>
      </c>
      <c r="BZ42">
        <v>0</v>
      </c>
      <c r="CA42">
        <v>0</v>
      </c>
    </row>
    <row r="43" spans="1:79" x14ac:dyDescent="0.5">
      <c r="A43">
        <v>0</v>
      </c>
      <c r="B43">
        <v>0</v>
      </c>
      <c r="C43">
        <v>0</v>
      </c>
      <c r="D43">
        <v>0</v>
      </c>
      <c r="E43">
        <v>0</v>
      </c>
      <c r="F43">
        <v>2434</v>
      </c>
      <c r="G43">
        <v>2422</v>
      </c>
      <c r="H43">
        <v>2383</v>
      </c>
      <c r="I43">
        <v>2352</v>
      </c>
      <c r="J43">
        <v>2321</v>
      </c>
      <c r="K43">
        <v>2291</v>
      </c>
      <c r="L43">
        <v>2270</v>
      </c>
      <c r="M43">
        <v>2265</v>
      </c>
      <c r="N43">
        <v>2262</v>
      </c>
      <c r="O43">
        <v>2258</v>
      </c>
      <c r="P43">
        <v>2252</v>
      </c>
      <c r="Q43">
        <v>2246</v>
      </c>
      <c r="R43">
        <v>2226</v>
      </c>
      <c r="S43">
        <v>2199</v>
      </c>
      <c r="T43">
        <v>2165</v>
      </c>
      <c r="U43">
        <v>2147</v>
      </c>
      <c r="V43">
        <v>2132</v>
      </c>
      <c r="W43">
        <v>2114</v>
      </c>
      <c r="X43">
        <v>2105</v>
      </c>
      <c r="Y43">
        <v>2090</v>
      </c>
      <c r="Z43">
        <v>2079</v>
      </c>
      <c r="AA43">
        <v>2070</v>
      </c>
      <c r="AB43">
        <v>2061</v>
      </c>
      <c r="AC43">
        <v>2046</v>
      </c>
      <c r="AD43">
        <v>2030</v>
      </c>
      <c r="AE43">
        <v>2020</v>
      </c>
      <c r="AF43">
        <v>2015</v>
      </c>
      <c r="AG43">
        <v>2008</v>
      </c>
      <c r="AH43">
        <v>2001</v>
      </c>
      <c r="AI43">
        <v>1993</v>
      </c>
      <c r="AJ43">
        <v>1979</v>
      </c>
      <c r="AK43">
        <v>1982</v>
      </c>
      <c r="AL43">
        <v>1998</v>
      </c>
      <c r="AM43">
        <v>2003</v>
      </c>
      <c r="AN43">
        <v>1999</v>
      </c>
      <c r="AO43">
        <v>1998</v>
      </c>
      <c r="AP43">
        <v>1997</v>
      </c>
      <c r="AQ43">
        <v>1977</v>
      </c>
      <c r="AR43">
        <v>1966</v>
      </c>
      <c r="AS43">
        <v>1961</v>
      </c>
      <c r="AT43">
        <v>1963</v>
      </c>
      <c r="AU43">
        <v>1974</v>
      </c>
      <c r="AV43">
        <v>1974</v>
      </c>
      <c r="AW43">
        <v>1965</v>
      </c>
      <c r="AX43">
        <v>1943</v>
      </c>
      <c r="AY43">
        <v>1940</v>
      </c>
      <c r="AZ43">
        <v>1936</v>
      </c>
      <c r="BA43">
        <v>1938</v>
      </c>
      <c r="BB43">
        <v>1939</v>
      </c>
      <c r="BC43">
        <v>1936</v>
      </c>
      <c r="BD43">
        <v>1929</v>
      </c>
      <c r="BE43">
        <v>1919</v>
      </c>
      <c r="BF43">
        <v>1905</v>
      </c>
      <c r="BG43">
        <v>1896</v>
      </c>
      <c r="BH43">
        <v>1883</v>
      </c>
      <c r="BI43">
        <v>1882</v>
      </c>
      <c r="BJ43">
        <v>1892</v>
      </c>
      <c r="BK43">
        <v>1903</v>
      </c>
      <c r="BL43">
        <v>1911</v>
      </c>
      <c r="BM43">
        <v>1911</v>
      </c>
      <c r="BN43">
        <v>1905</v>
      </c>
      <c r="BO43">
        <v>1891</v>
      </c>
      <c r="BP43">
        <v>1872</v>
      </c>
      <c r="BQ43">
        <v>1856</v>
      </c>
      <c r="BR43">
        <v>1847</v>
      </c>
      <c r="BS43">
        <v>1840</v>
      </c>
      <c r="BT43">
        <v>1836</v>
      </c>
      <c r="BU43">
        <v>1832</v>
      </c>
      <c r="BV43">
        <v>1836</v>
      </c>
      <c r="BW43">
        <v>1834</v>
      </c>
      <c r="BX43">
        <v>0</v>
      </c>
      <c r="BY43">
        <v>0</v>
      </c>
      <c r="BZ43">
        <v>0</v>
      </c>
      <c r="CA43">
        <v>0</v>
      </c>
    </row>
    <row r="44" spans="1:79" x14ac:dyDescent="0.5">
      <c r="A44">
        <v>0</v>
      </c>
      <c r="B44">
        <v>0</v>
      </c>
      <c r="C44">
        <v>0</v>
      </c>
      <c r="D44">
        <v>0</v>
      </c>
      <c r="E44">
        <v>0</v>
      </c>
      <c r="F44">
        <v>2437</v>
      </c>
      <c r="G44">
        <v>2419</v>
      </c>
      <c r="H44">
        <v>2386</v>
      </c>
      <c r="I44">
        <v>2350</v>
      </c>
      <c r="J44">
        <v>2318</v>
      </c>
      <c r="K44">
        <v>2294</v>
      </c>
      <c r="L44">
        <v>2281</v>
      </c>
      <c r="M44">
        <v>2273</v>
      </c>
      <c r="N44">
        <v>2266</v>
      </c>
      <c r="O44">
        <v>2257</v>
      </c>
      <c r="P44">
        <v>2251</v>
      </c>
      <c r="Q44">
        <v>2246</v>
      </c>
      <c r="R44">
        <v>2239</v>
      </c>
      <c r="S44">
        <v>2216</v>
      </c>
      <c r="T44">
        <v>2189</v>
      </c>
      <c r="U44">
        <v>2161</v>
      </c>
      <c r="V44">
        <v>2133</v>
      </c>
      <c r="W44">
        <v>2137</v>
      </c>
      <c r="X44">
        <v>2125</v>
      </c>
      <c r="Y44">
        <v>2110</v>
      </c>
      <c r="Z44">
        <v>2096</v>
      </c>
      <c r="AA44">
        <v>2083</v>
      </c>
      <c r="AB44">
        <v>2072</v>
      </c>
      <c r="AC44">
        <v>2055</v>
      </c>
      <c r="AD44">
        <v>2035</v>
      </c>
      <c r="AE44">
        <v>2027</v>
      </c>
      <c r="AF44">
        <v>2022</v>
      </c>
      <c r="AG44">
        <v>2013</v>
      </c>
      <c r="AH44">
        <v>2005</v>
      </c>
      <c r="AI44">
        <v>1994</v>
      </c>
      <c r="AJ44">
        <v>1982</v>
      </c>
      <c r="AK44">
        <v>1989</v>
      </c>
      <c r="AL44">
        <v>2008</v>
      </c>
      <c r="AM44">
        <v>2016</v>
      </c>
      <c r="AN44">
        <v>2010</v>
      </c>
      <c r="AO44">
        <v>2004</v>
      </c>
      <c r="AP44">
        <v>2005</v>
      </c>
      <c r="AQ44">
        <v>2004</v>
      </c>
      <c r="AR44">
        <v>1988</v>
      </c>
      <c r="AS44">
        <v>1973</v>
      </c>
      <c r="AT44">
        <v>1974</v>
      </c>
      <c r="AU44">
        <v>1985</v>
      </c>
      <c r="AV44">
        <v>1985</v>
      </c>
      <c r="AW44">
        <v>1978</v>
      </c>
      <c r="AX44">
        <v>1973</v>
      </c>
      <c r="AY44">
        <v>1968</v>
      </c>
      <c r="AZ44">
        <v>1963</v>
      </c>
      <c r="BA44">
        <v>1962</v>
      </c>
      <c r="BB44">
        <v>1960</v>
      </c>
      <c r="BC44">
        <v>1951</v>
      </c>
      <c r="BD44">
        <v>1943</v>
      </c>
      <c r="BE44">
        <v>1928</v>
      </c>
      <c r="BF44">
        <v>1906</v>
      </c>
      <c r="BG44">
        <v>1900</v>
      </c>
      <c r="BH44">
        <v>1890</v>
      </c>
      <c r="BI44">
        <v>1889</v>
      </c>
      <c r="BJ44">
        <v>1894</v>
      </c>
      <c r="BK44">
        <v>1904</v>
      </c>
      <c r="BL44">
        <v>1914</v>
      </c>
      <c r="BM44">
        <v>1914</v>
      </c>
      <c r="BN44">
        <v>1906</v>
      </c>
      <c r="BO44">
        <v>1894</v>
      </c>
      <c r="BP44">
        <v>1879</v>
      </c>
      <c r="BQ44">
        <v>1861</v>
      </c>
      <c r="BR44">
        <v>1855</v>
      </c>
      <c r="BS44">
        <v>1846</v>
      </c>
      <c r="BT44">
        <v>1840</v>
      </c>
      <c r="BU44">
        <v>1837</v>
      </c>
      <c r="BV44">
        <v>1846</v>
      </c>
      <c r="BW44">
        <v>1844</v>
      </c>
      <c r="BX44">
        <v>0</v>
      </c>
      <c r="BY44">
        <v>0</v>
      </c>
      <c r="BZ44">
        <v>0</v>
      </c>
      <c r="CA44">
        <v>0</v>
      </c>
    </row>
    <row r="45" spans="1:79" x14ac:dyDescent="0.5">
      <c r="A45">
        <v>0</v>
      </c>
      <c r="B45">
        <v>0</v>
      </c>
      <c r="C45">
        <v>0</v>
      </c>
      <c r="D45">
        <v>2438</v>
      </c>
      <c r="E45">
        <v>2430</v>
      </c>
      <c r="F45">
        <v>2429</v>
      </c>
      <c r="G45">
        <v>2412</v>
      </c>
      <c r="H45">
        <v>2382</v>
      </c>
      <c r="I45">
        <v>2338</v>
      </c>
      <c r="J45">
        <v>2312</v>
      </c>
      <c r="K45">
        <v>2290</v>
      </c>
      <c r="L45">
        <v>2276</v>
      </c>
      <c r="M45">
        <v>2265</v>
      </c>
      <c r="N45">
        <v>2253</v>
      </c>
      <c r="O45">
        <v>2237</v>
      </c>
      <c r="P45">
        <v>2229</v>
      </c>
      <c r="Q45">
        <v>2228</v>
      </c>
      <c r="R45">
        <v>2223</v>
      </c>
      <c r="S45">
        <v>2213</v>
      </c>
      <c r="T45">
        <v>2191</v>
      </c>
      <c r="U45">
        <v>2157</v>
      </c>
      <c r="V45">
        <v>2163</v>
      </c>
      <c r="W45">
        <v>2150</v>
      </c>
      <c r="X45">
        <v>2134</v>
      </c>
      <c r="Y45">
        <v>2121</v>
      </c>
      <c r="Z45">
        <v>2107</v>
      </c>
      <c r="AA45">
        <v>2090</v>
      </c>
      <c r="AB45">
        <v>2075</v>
      </c>
      <c r="AC45">
        <v>2059</v>
      </c>
      <c r="AD45">
        <v>2041</v>
      </c>
      <c r="AE45">
        <v>2033</v>
      </c>
      <c r="AF45">
        <v>2025</v>
      </c>
      <c r="AG45">
        <v>2018</v>
      </c>
      <c r="AH45">
        <v>2009</v>
      </c>
      <c r="AI45">
        <v>1996</v>
      </c>
      <c r="AJ45">
        <v>1985</v>
      </c>
      <c r="AK45">
        <v>1998</v>
      </c>
      <c r="AL45">
        <v>2019</v>
      </c>
      <c r="AM45">
        <v>2031</v>
      </c>
      <c r="AN45">
        <v>2025</v>
      </c>
      <c r="AO45">
        <v>2014</v>
      </c>
      <c r="AP45">
        <v>2005</v>
      </c>
      <c r="AQ45">
        <v>2002</v>
      </c>
      <c r="AR45">
        <v>1997</v>
      </c>
      <c r="AS45">
        <v>1986</v>
      </c>
      <c r="AT45">
        <v>1982</v>
      </c>
      <c r="AU45">
        <v>1995</v>
      </c>
      <c r="AV45">
        <v>1995</v>
      </c>
      <c r="AW45">
        <v>1996</v>
      </c>
      <c r="AX45">
        <v>1997</v>
      </c>
      <c r="AY45">
        <v>1994</v>
      </c>
      <c r="AZ45">
        <v>1990</v>
      </c>
      <c r="BA45">
        <v>1990</v>
      </c>
      <c r="BB45">
        <v>1984</v>
      </c>
      <c r="BC45">
        <v>1967</v>
      </c>
      <c r="BD45">
        <v>1954</v>
      </c>
      <c r="BE45">
        <v>1933</v>
      </c>
      <c r="BF45">
        <v>1914</v>
      </c>
      <c r="BG45">
        <v>1906</v>
      </c>
      <c r="BH45">
        <v>1899</v>
      </c>
      <c r="BI45">
        <v>1893</v>
      </c>
      <c r="BJ45">
        <v>1896</v>
      </c>
      <c r="BK45">
        <v>1904</v>
      </c>
      <c r="BL45">
        <v>1912</v>
      </c>
      <c r="BM45">
        <v>1912</v>
      </c>
      <c r="BN45">
        <v>1905</v>
      </c>
      <c r="BO45">
        <v>1895</v>
      </c>
      <c r="BP45">
        <v>1882</v>
      </c>
      <c r="BQ45">
        <v>1872</v>
      </c>
      <c r="BR45">
        <v>1863</v>
      </c>
      <c r="BS45">
        <v>1848</v>
      </c>
      <c r="BT45">
        <v>1845</v>
      </c>
      <c r="BU45">
        <v>1849</v>
      </c>
      <c r="BV45">
        <v>1860</v>
      </c>
      <c r="BW45">
        <v>1862</v>
      </c>
      <c r="BX45">
        <v>0</v>
      </c>
      <c r="BY45">
        <v>0</v>
      </c>
      <c r="BZ45">
        <v>0</v>
      </c>
      <c r="CA45">
        <v>0</v>
      </c>
    </row>
    <row r="46" spans="1:79" x14ac:dyDescent="0.5">
      <c r="A46">
        <v>0</v>
      </c>
      <c r="B46">
        <v>0</v>
      </c>
      <c r="C46">
        <v>0</v>
      </c>
      <c r="D46">
        <v>2439</v>
      </c>
      <c r="E46">
        <v>2423</v>
      </c>
      <c r="F46">
        <v>2416</v>
      </c>
      <c r="G46">
        <v>2403</v>
      </c>
      <c r="H46">
        <v>2367</v>
      </c>
      <c r="I46">
        <v>2330</v>
      </c>
      <c r="J46">
        <v>2304</v>
      </c>
      <c r="K46">
        <v>2280</v>
      </c>
      <c r="L46">
        <v>2263</v>
      </c>
      <c r="M46">
        <v>2249</v>
      </c>
      <c r="N46">
        <v>2235</v>
      </c>
      <c r="O46">
        <v>2224</v>
      </c>
      <c r="P46">
        <v>2219</v>
      </c>
      <c r="Q46">
        <v>2212</v>
      </c>
      <c r="R46">
        <v>2204</v>
      </c>
      <c r="S46">
        <v>2189</v>
      </c>
      <c r="T46">
        <v>2189</v>
      </c>
      <c r="U46">
        <v>2192</v>
      </c>
      <c r="V46">
        <v>2181</v>
      </c>
      <c r="W46">
        <v>2161</v>
      </c>
      <c r="X46">
        <v>2150</v>
      </c>
      <c r="Y46">
        <v>2135</v>
      </c>
      <c r="Z46">
        <v>2114</v>
      </c>
      <c r="AA46">
        <v>2092</v>
      </c>
      <c r="AB46">
        <v>2077</v>
      </c>
      <c r="AC46">
        <v>2064</v>
      </c>
      <c r="AD46">
        <v>2050</v>
      </c>
      <c r="AE46">
        <v>2037</v>
      </c>
      <c r="AF46">
        <v>2028</v>
      </c>
      <c r="AG46">
        <v>2020</v>
      </c>
      <c r="AH46">
        <v>2008</v>
      </c>
      <c r="AI46">
        <v>1997</v>
      </c>
      <c r="AJ46">
        <v>1989</v>
      </c>
      <c r="AK46">
        <v>2002</v>
      </c>
      <c r="AL46">
        <v>2022</v>
      </c>
      <c r="AM46">
        <v>2036</v>
      </c>
      <c r="AN46">
        <v>2031</v>
      </c>
      <c r="AO46">
        <v>2022</v>
      </c>
      <c r="AP46">
        <v>2011</v>
      </c>
      <c r="AQ46">
        <v>2003</v>
      </c>
      <c r="AR46">
        <v>1996</v>
      </c>
      <c r="AS46">
        <v>1988</v>
      </c>
      <c r="AT46">
        <v>1986</v>
      </c>
      <c r="AU46">
        <v>1997</v>
      </c>
      <c r="AV46">
        <v>2003</v>
      </c>
      <c r="AW46">
        <v>2010</v>
      </c>
      <c r="AX46">
        <v>2015</v>
      </c>
      <c r="AY46">
        <v>2017</v>
      </c>
      <c r="AZ46">
        <v>2021</v>
      </c>
      <c r="BA46">
        <v>2017</v>
      </c>
      <c r="BB46">
        <v>2003</v>
      </c>
      <c r="BC46">
        <v>1988</v>
      </c>
      <c r="BD46">
        <v>1965</v>
      </c>
      <c r="BE46">
        <v>1941</v>
      </c>
      <c r="BF46">
        <v>1921</v>
      </c>
      <c r="BG46">
        <v>1914</v>
      </c>
      <c r="BH46">
        <v>1909</v>
      </c>
      <c r="BI46">
        <v>1900</v>
      </c>
      <c r="BJ46">
        <v>1905</v>
      </c>
      <c r="BK46">
        <v>1908</v>
      </c>
      <c r="BL46">
        <v>1915</v>
      </c>
      <c r="BM46">
        <v>1912</v>
      </c>
      <c r="BN46">
        <v>1902</v>
      </c>
      <c r="BO46">
        <v>1893</v>
      </c>
      <c r="BP46">
        <v>1882</v>
      </c>
      <c r="BQ46">
        <v>1873</v>
      </c>
      <c r="BR46">
        <v>1861</v>
      </c>
      <c r="BS46">
        <v>1854</v>
      </c>
      <c r="BT46">
        <v>1851</v>
      </c>
      <c r="BU46">
        <v>1854</v>
      </c>
      <c r="BV46">
        <v>1863</v>
      </c>
      <c r="BW46">
        <v>1875</v>
      </c>
      <c r="BX46">
        <v>0</v>
      </c>
      <c r="BY46">
        <v>0</v>
      </c>
      <c r="BZ46">
        <v>0</v>
      </c>
      <c r="CA46">
        <v>0</v>
      </c>
    </row>
    <row r="47" spans="1:79" x14ac:dyDescent="0.5">
      <c r="A47">
        <v>0</v>
      </c>
      <c r="B47">
        <v>0</v>
      </c>
      <c r="C47">
        <v>0</v>
      </c>
      <c r="D47">
        <v>2440</v>
      </c>
      <c r="E47">
        <v>2422</v>
      </c>
      <c r="F47">
        <v>2409</v>
      </c>
      <c r="G47">
        <v>2389</v>
      </c>
      <c r="H47">
        <v>2359</v>
      </c>
      <c r="I47">
        <v>2323</v>
      </c>
      <c r="J47">
        <v>2294</v>
      </c>
      <c r="K47">
        <v>2272</v>
      </c>
      <c r="L47">
        <v>2249</v>
      </c>
      <c r="M47">
        <v>2239</v>
      </c>
      <c r="N47">
        <v>2232</v>
      </c>
      <c r="O47">
        <v>2223</v>
      </c>
      <c r="P47">
        <v>2218</v>
      </c>
      <c r="Q47">
        <v>2217</v>
      </c>
      <c r="R47">
        <v>2215</v>
      </c>
      <c r="S47">
        <v>2212</v>
      </c>
      <c r="T47">
        <v>2211</v>
      </c>
      <c r="U47">
        <v>2203</v>
      </c>
      <c r="V47">
        <v>2191</v>
      </c>
      <c r="W47">
        <v>2176</v>
      </c>
      <c r="X47">
        <v>2160</v>
      </c>
      <c r="Y47">
        <v>2141</v>
      </c>
      <c r="Z47">
        <v>2116</v>
      </c>
      <c r="AA47">
        <v>2096</v>
      </c>
      <c r="AB47">
        <v>2084</v>
      </c>
      <c r="AC47">
        <v>2072</v>
      </c>
      <c r="AD47">
        <v>2059</v>
      </c>
      <c r="AE47">
        <v>2044</v>
      </c>
      <c r="AF47">
        <v>2031</v>
      </c>
      <c r="AG47">
        <v>2022</v>
      </c>
      <c r="AH47">
        <v>2013</v>
      </c>
      <c r="AI47">
        <v>2004</v>
      </c>
      <c r="AJ47">
        <v>1992</v>
      </c>
      <c r="AK47">
        <v>1998</v>
      </c>
      <c r="AL47">
        <v>2014</v>
      </c>
      <c r="AM47">
        <v>2026</v>
      </c>
      <c r="AN47">
        <v>2026</v>
      </c>
      <c r="AO47">
        <v>2022</v>
      </c>
      <c r="AP47">
        <v>2019</v>
      </c>
      <c r="AQ47">
        <v>2009</v>
      </c>
      <c r="AR47">
        <v>1998</v>
      </c>
      <c r="AS47">
        <v>1989</v>
      </c>
      <c r="AT47">
        <v>1988</v>
      </c>
      <c r="AU47">
        <v>1996</v>
      </c>
      <c r="AV47">
        <v>2005</v>
      </c>
      <c r="AW47">
        <v>2016</v>
      </c>
      <c r="AX47">
        <v>2026</v>
      </c>
      <c r="AY47">
        <v>2035</v>
      </c>
      <c r="AZ47">
        <v>2043</v>
      </c>
      <c r="BA47">
        <v>2038</v>
      </c>
      <c r="BB47">
        <v>2022</v>
      </c>
      <c r="BC47">
        <v>2002</v>
      </c>
      <c r="BD47">
        <v>1978</v>
      </c>
      <c r="BE47">
        <v>1948</v>
      </c>
      <c r="BF47">
        <v>1930</v>
      </c>
      <c r="BG47">
        <v>1918</v>
      </c>
      <c r="BH47">
        <v>1910</v>
      </c>
      <c r="BI47">
        <v>1907</v>
      </c>
      <c r="BJ47">
        <v>1912</v>
      </c>
      <c r="BK47">
        <v>1915</v>
      </c>
      <c r="BL47">
        <v>1917</v>
      </c>
      <c r="BM47">
        <v>1912</v>
      </c>
      <c r="BN47">
        <v>1899</v>
      </c>
      <c r="BO47">
        <v>1892</v>
      </c>
      <c r="BP47">
        <v>1882</v>
      </c>
      <c r="BQ47">
        <v>1873</v>
      </c>
      <c r="BR47">
        <v>1862</v>
      </c>
      <c r="BS47">
        <v>1861</v>
      </c>
      <c r="BT47">
        <v>1857</v>
      </c>
      <c r="BU47">
        <v>1856</v>
      </c>
      <c r="BV47">
        <v>1866</v>
      </c>
      <c r="BW47">
        <v>1877</v>
      </c>
      <c r="BX47">
        <v>0</v>
      </c>
      <c r="BY47">
        <v>0</v>
      </c>
      <c r="BZ47">
        <v>0</v>
      </c>
      <c r="CA47">
        <v>0</v>
      </c>
    </row>
    <row r="48" spans="1:79" x14ac:dyDescent="0.5">
      <c r="A48">
        <v>0</v>
      </c>
      <c r="B48">
        <v>0</v>
      </c>
      <c r="C48">
        <v>0</v>
      </c>
      <c r="D48">
        <v>2445</v>
      </c>
      <c r="E48">
        <v>2428</v>
      </c>
      <c r="F48">
        <v>2407</v>
      </c>
      <c r="G48">
        <v>2378</v>
      </c>
      <c r="H48">
        <v>2348</v>
      </c>
      <c r="I48">
        <v>2313</v>
      </c>
      <c r="J48">
        <v>2289</v>
      </c>
      <c r="K48">
        <v>2260</v>
      </c>
      <c r="L48">
        <v>2245</v>
      </c>
      <c r="M48">
        <v>2239</v>
      </c>
      <c r="N48">
        <v>2233</v>
      </c>
      <c r="O48">
        <v>2230</v>
      </c>
      <c r="P48">
        <v>2227</v>
      </c>
      <c r="Q48">
        <v>2233</v>
      </c>
      <c r="R48">
        <v>2237</v>
      </c>
      <c r="S48">
        <v>2236</v>
      </c>
      <c r="T48">
        <v>2234</v>
      </c>
      <c r="U48">
        <v>2216</v>
      </c>
      <c r="V48">
        <v>2198</v>
      </c>
      <c r="W48">
        <v>2180</v>
      </c>
      <c r="X48">
        <v>2161</v>
      </c>
      <c r="Y48">
        <v>2140</v>
      </c>
      <c r="Z48">
        <v>2118</v>
      </c>
      <c r="AA48">
        <v>2100</v>
      </c>
      <c r="AB48">
        <v>2091</v>
      </c>
      <c r="AC48">
        <v>2081</v>
      </c>
      <c r="AD48">
        <v>2068</v>
      </c>
      <c r="AE48">
        <v>2052</v>
      </c>
      <c r="AF48">
        <v>2039</v>
      </c>
      <c r="AG48">
        <v>2028</v>
      </c>
      <c r="AH48">
        <v>2022</v>
      </c>
      <c r="AI48">
        <v>2022</v>
      </c>
      <c r="AJ48">
        <v>2017</v>
      </c>
      <c r="AK48">
        <v>2001</v>
      </c>
      <c r="AL48">
        <v>2004</v>
      </c>
      <c r="AM48">
        <v>2014</v>
      </c>
      <c r="AN48">
        <v>2020</v>
      </c>
      <c r="AO48">
        <v>2023</v>
      </c>
      <c r="AP48">
        <v>2027</v>
      </c>
      <c r="AQ48">
        <v>2024</v>
      </c>
      <c r="AR48">
        <v>2013</v>
      </c>
      <c r="AS48">
        <v>2000</v>
      </c>
      <c r="AT48">
        <v>1990</v>
      </c>
      <c r="AU48">
        <v>1994</v>
      </c>
      <c r="AV48">
        <v>2010</v>
      </c>
      <c r="AW48">
        <v>2023</v>
      </c>
      <c r="AX48">
        <v>2036</v>
      </c>
      <c r="AY48">
        <v>2052</v>
      </c>
      <c r="AZ48">
        <v>2060</v>
      </c>
      <c r="BA48">
        <v>2051</v>
      </c>
      <c r="BB48">
        <v>2039</v>
      </c>
      <c r="BC48">
        <v>2022</v>
      </c>
      <c r="BD48">
        <v>1994</v>
      </c>
      <c r="BE48">
        <v>1963</v>
      </c>
      <c r="BF48">
        <v>1941</v>
      </c>
      <c r="BG48">
        <v>1923</v>
      </c>
      <c r="BH48">
        <v>1914</v>
      </c>
      <c r="BI48">
        <v>1917</v>
      </c>
      <c r="BJ48">
        <v>1920</v>
      </c>
      <c r="BK48">
        <v>1923</v>
      </c>
      <c r="BL48">
        <v>1920</v>
      </c>
      <c r="BM48">
        <v>1909</v>
      </c>
      <c r="BN48">
        <v>1901</v>
      </c>
      <c r="BO48">
        <v>1892</v>
      </c>
      <c r="BP48">
        <v>1886</v>
      </c>
      <c r="BQ48">
        <v>1878</v>
      </c>
      <c r="BR48">
        <v>1871</v>
      </c>
      <c r="BS48">
        <v>1865</v>
      </c>
      <c r="BT48">
        <v>1862</v>
      </c>
      <c r="BU48">
        <v>1865</v>
      </c>
      <c r="BV48">
        <v>1870</v>
      </c>
      <c r="BW48">
        <v>1882</v>
      </c>
      <c r="BX48">
        <v>1894</v>
      </c>
      <c r="BY48">
        <v>0</v>
      </c>
      <c r="BZ48">
        <v>0</v>
      </c>
      <c r="CA48">
        <v>0</v>
      </c>
    </row>
    <row r="49" spans="1:79" x14ac:dyDescent="0.5">
      <c r="A49">
        <v>0</v>
      </c>
      <c r="B49">
        <v>0</v>
      </c>
      <c r="C49">
        <v>0</v>
      </c>
      <c r="D49">
        <v>2447</v>
      </c>
      <c r="E49">
        <v>2431</v>
      </c>
      <c r="F49">
        <v>2410</v>
      </c>
      <c r="G49">
        <v>2368</v>
      </c>
      <c r="H49">
        <v>2338</v>
      </c>
      <c r="I49">
        <v>2309</v>
      </c>
      <c r="J49">
        <v>2286</v>
      </c>
      <c r="K49">
        <v>2264</v>
      </c>
      <c r="L49">
        <v>2248</v>
      </c>
      <c r="M49">
        <v>2247</v>
      </c>
      <c r="N49">
        <v>2244</v>
      </c>
      <c r="O49">
        <v>2239</v>
      </c>
      <c r="P49">
        <v>2244</v>
      </c>
      <c r="Q49">
        <v>2248</v>
      </c>
      <c r="R49">
        <v>2251</v>
      </c>
      <c r="S49">
        <v>2253</v>
      </c>
      <c r="T49">
        <v>2236</v>
      </c>
      <c r="U49">
        <v>2214</v>
      </c>
      <c r="V49">
        <v>2196</v>
      </c>
      <c r="W49">
        <v>2179</v>
      </c>
      <c r="X49">
        <v>2158</v>
      </c>
      <c r="Y49">
        <v>2143</v>
      </c>
      <c r="Z49">
        <v>2124</v>
      </c>
      <c r="AA49">
        <v>2113</v>
      </c>
      <c r="AB49">
        <v>2098</v>
      </c>
      <c r="AC49">
        <v>2086</v>
      </c>
      <c r="AD49">
        <v>2072</v>
      </c>
      <c r="AE49">
        <v>2058</v>
      </c>
      <c r="AF49">
        <v>2048</v>
      </c>
      <c r="AG49">
        <v>2036</v>
      </c>
      <c r="AH49">
        <v>2033</v>
      </c>
      <c r="AI49">
        <v>2032</v>
      </c>
      <c r="AJ49">
        <v>2031</v>
      </c>
      <c r="AK49">
        <v>2017</v>
      </c>
      <c r="AL49">
        <v>2004</v>
      </c>
      <c r="AM49">
        <v>2008</v>
      </c>
      <c r="AN49">
        <v>2016</v>
      </c>
      <c r="AO49">
        <v>2026</v>
      </c>
      <c r="AP49">
        <v>2033</v>
      </c>
      <c r="AQ49">
        <v>2036</v>
      </c>
      <c r="AR49">
        <v>2031</v>
      </c>
      <c r="AS49">
        <v>2018</v>
      </c>
      <c r="AT49">
        <v>2000</v>
      </c>
      <c r="AU49">
        <v>1992</v>
      </c>
      <c r="AV49">
        <v>2006</v>
      </c>
      <c r="AW49">
        <v>2022</v>
      </c>
      <c r="AX49">
        <v>2044</v>
      </c>
      <c r="AY49">
        <v>2064</v>
      </c>
      <c r="AZ49">
        <v>2080</v>
      </c>
      <c r="BA49">
        <v>2071</v>
      </c>
      <c r="BB49">
        <v>2054</v>
      </c>
      <c r="BC49">
        <v>2036</v>
      </c>
      <c r="BD49">
        <v>2009</v>
      </c>
      <c r="BE49">
        <v>1979</v>
      </c>
      <c r="BF49">
        <v>1953</v>
      </c>
      <c r="BG49">
        <v>1935</v>
      </c>
      <c r="BH49">
        <v>1923</v>
      </c>
      <c r="BI49">
        <v>1925</v>
      </c>
      <c r="BJ49">
        <v>1929</v>
      </c>
      <c r="BK49">
        <v>1931</v>
      </c>
      <c r="BL49">
        <v>1928</v>
      </c>
      <c r="BM49">
        <v>1913</v>
      </c>
      <c r="BN49">
        <v>1904</v>
      </c>
      <c r="BO49">
        <v>1897</v>
      </c>
      <c r="BP49">
        <v>1890</v>
      </c>
      <c r="BQ49">
        <v>1884</v>
      </c>
      <c r="BR49">
        <v>1876</v>
      </c>
      <c r="BS49">
        <v>1873</v>
      </c>
      <c r="BT49">
        <v>1869</v>
      </c>
      <c r="BU49">
        <v>1874</v>
      </c>
      <c r="BV49">
        <v>1881</v>
      </c>
      <c r="BW49">
        <v>1888</v>
      </c>
      <c r="BX49">
        <v>1896</v>
      </c>
      <c r="BY49">
        <v>0</v>
      </c>
      <c r="BZ49">
        <v>0</v>
      </c>
      <c r="CA49">
        <v>0</v>
      </c>
    </row>
    <row r="50" spans="1:79" x14ac:dyDescent="0.5">
      <c r="A50">
        <v>0</v>
      </c>
      <c r="B50">
        <v>0</v>
      </c>
      <c r="C50">
        <v>0</v>
      </c>
      <c r="D50">
        <v>2455</v>
      </c>
      <c r="E50">
        <v>2438</v>
      </c>
      <c r="F50">
        <v>2402</v>
      </c>
      <c r="G50">
        <v>2365</v>
      </c>
      <c r="H50">
        <v>2334</v>
      </c>
      <c r="I50">
        <v>2299</v>
      </c>
      <c r="J50">
        <v>2284</v>
      </c>
      <c r="K50">
        <v>2275</v>
      </c>
      <c r="L50">
        <v>2258</v>
      </c>
      <c r="M50">
        <v>2262</v>
      </c>
      <c r="N50">
        <v>2260</v>
      </c>
      <c r="O50">
        <v>2260</v>
      </c>
      <c r="P50">
        <v>2265</v>
      </c>
      <c r="Q50">
        <v>2264</v>
      </c>
      <c r="R50">
        <v>2256</v>
      </c>
      <c r="S50">
        <v>2241</v>
      </c>
      <c r="T50">
        <v>2223</v>
      </c>
      <c r="U50">
        <v>2206</v>
      </c>
      <c r="V50">
        <v>2190</v>
      </c>
      <c r="W50">
        <v>2175</v>
      </c>
      <c r="X50">
        <v>2157</v>
      </c>
      <c r="Y50">
        <v>2144</v>
      </c>
      <c r="Z50">
        <v>2131</v>
      </c>
      <c r="AA50">
        <v>2120</v>
      </c>
      <c r="AB50">
        <v>2109</v>
      </c>
      <c r="AC50">
        <v>2094</v>
      </c>
      <c r="AD50">
        <v>2078</v>
      </c>
      <c r="AE50">
        <v>2063</v>
      </c>
      <c r="AF50">
        <v>2054</v>
      </c>
      <c r="AG50">
        <v>2045</v>
      </c>
      <c r="AH50">
        <v>2040</v>
      </c>
      <c r="AI50">
        <v>2037</v>
      </c>
      <c r="AJ50">
        <v>2033</v>
      </c>
      <c r="AK50">
        <v>2021</v>
      </c>
      <c r="AL50">
        <v>2010</v>
      </c>
      <c r="AM50">
        <v>2008</v>
      </c>
      <c r="AN50">
        <v>2017</v>
      </c>
      <c r="AO50">
        <v>2028</v>
      </c>
      <c r="AP50">
        <v>2037</v>
      </c>
      <c r="AQ50">
        <v>2044</v>
      </c>
      <c r="AR50">
        <v>2045</v>
      </c>
      <c r="AS50">
        <v>2039</v>
      </c>
      <c r="AT50">
        <v>2015</v>
      </c>
      <c r="AU50">
        <v>2000</v>
      </c>
      <c r="AV50">
        <v>2001</v>
      </c>
      <c r="AW50">
        <v>2016</v>
      </c>
      <c r="AX50">
        <v>2041</v>
      </c>
      <c r="AY50">
        <v>2069</v>
      </c>
      <c r="AZ50">
        <v>2089</v>
      </c>
      <c r="BA50">
        <v>2089</v>
      </c>
      <c r="BB50">
        <v>2073</v>
      </c>
      <c r="BC50">
        <v>2050</v>
      </c>
      <c r="BD50">
        <v>2027</v>
      </c>
      <c r="BE50">
        <v>1995</v>
      </c>
      <c r="BF50">
        <v>1971</v>
      </c>
      <c r="BG50">
        <v>1951</v>
      </c>
      <c r="BH50">
        <v>1936</v>
      </c>
      <c r="BI50">
        <v>1931</v>
      </c>
      <c r="BJ50">
        <v>1937</v>
      </c>
      <c r="BK50">
        <v>1945</v>
      </c>
      <c r="BL50">
        <v>1942</v>
      </c>
      <c r="BM50">
        <v>1925</v>
      </c>
      <c r="BN50">
        <v>1911</v>
      </c>
      <c r="BO50">
        <v>1902</v>
      </c>
      <c r="BP50">
        <v>1895</v>
      </c>
      <c r="BQ50">
        <v>1888</v>
      </c>
      <c r="BR50">
        <v>1884</v>
      </c>
      <c r="BS50">
        <v>1880</v>
      </c>
      <c r="BT50">
        <v>1876</v>
      </c>
      <c r="BU50">
        <v>1883</v>
      </c>
      <c r="BV50">
        <v>1889</v>
      </c>
      <c r="BW50">
        <v>1895</v>
      </c>
      <c r="BX50">
        <v>1902</v>
      </c>
      <c r="BY50">
        <v>0</v>
      </c>
      <c r="BZ50">
        <v>0</v>
      </c>
      <c r="CA50">
        <v>0</v>
      </c>
    </row>
    <row r="51" spans="1:79" x14ac:dyDescent="0.5">
      <c r="A51">
        <v>0</v>
      </c>
      <c r="B51">
        <v>0</v>
      </c>
      <c r="C51">
        <v>0</v>
      </c>
      <c r="D51">
        <v>2455</v>
      </c>
      <c r="E51">
        <v>2431</v>
      </c>
      <c r="F51">
        <v>2390</v>
      </c>
      <c r="G51">
        <v>2360</v>
      </c>
      <c r="H51">
        <v>2328</v>
      </c>
      <c r="I51">
        <v>2291</v>
      </c>
      <c r="J51">
        <v>2280</v>
      </c>
      <c r="K51">
        <v>2270</v>
      </c>
      <c r="L51">
        <v>2275</v>
      </c>
      <c r="M51">
        <v>2286</v>
      </c>
      <c r="N51">
        <v>2284</v>
      </c>
      <c r="O51">
        <v>2289</v>
      </c>
      <c r="P51">
        <v>2289</v>
      </c>
      <c r="Q51">
        <v>2273</v>
      </c>
      <c r="R51">
        <v>2246</v>
      </c>
      <c r="S51">
        <v>2227</v>
      </c>
      <c r="T51">
        <v>2213</v>
      </c>
      <c r="U51">
        <v>2201</v>
      </c>
      <c r="V51">
        <v>2190</v>
      </c>
      <c r="W51">
        <v>2177</v>
      </c>
      <c r="X51">
        <v>2164</v>
      </c>
      <c r="Y51">
        <v>2155</v>
      </c>
      <c r="Z51">
        <v>2139</v>
      </c>
      <c r="AA51">
        <v>2123</v>
      </c>
      <c r="AB51">
        <v>2111</v>
      </c>
      <c r="AC51">
        <v>2100</v>
      </c>
      <c r="AD51">
        <v>2084</v>
      </c>
      <c r="AE51">
        <v>2070</v>
      </c>
      <c r="AF51">
        <v>2059</v>
      </c>
      <c r="AG51">
        <v>2050</v>
      </c>
      <c r="AH51">
        <v>2044</v>
      </c>
      <c r="AI51">
        <v>2038</v>
      </c>
      <c r="AJ51">
        <v>2032</v>
      </c>
      <c r="AK51">
        <v>2020</v>
      </c>
      <c r="AL51">
        <v>2012</v>
      </c>
      <c r="AM51">
        <v>2011</v>
      </c>
      <c r="AN51">
        <v>2017</v>
      </c>
      <c r="AO51">
        <v>2028</v>
      </c>
      <c r="AP51">
        <v>2039</v>
      </c>
      <c r="AQ51">
        <v>2047</v>
      </c>
      <c r="AR51">
        <v>2052</v>
      </c>
      <c r="AS51">
        <v>2051</v>
      </c>
      <c r="AT51">
        <v>2033</v>
      </c>
      <c r="AU51">
        <v>2008</v>
      </c>
      <c r="AV51">
        <v>2000</v>
      </c>
      <c r="AW51">
        <v>2005</v>
      </c>
      <c r="AX51">
        <v>2032</v>
      </c>
      <c r="AY51">
        <v>2062</v>
      </c>
      <c r="AZ51">
        <v>2088</v>
      </c>
      <c r="BA51">
        <v>2105</v>
      </c>
      <c r="BB51">
        <v>2090</v>
      </c>
      <c r="BC51">
        <v>2064</v>
      </c>
      <c r="BD51">
        <v>2039</v>
      </c>
      <c r="BE51">
        <v>2011</v>
      </c>
      <c r="BF51">
        <v>1985</v>
      </c>
      <c r="BG51">
        <v>1964</v>
      </c>
      <c r="BH51">
        <v>1954</v>
      </c>
      <c r="BI51">
        <v>1940</v>
      </c>
      <c r="BJ51">
        <v>1944</v>
      </c>
      <c r="BK51">
        <v>1953</v>
      </c>
      <c r="BL51">
        <v>1956</v>
      </c>
      <c r="BM51">
        <v>1943</v>
      </c>
      <c r="BN51">
        <v>1922</v>
      </c>
      <c r="BO51">
        <v>1907</v>
      </c>
      <c r="BP51">
        <v>1901</v>
      </c>
      <c r="BQ51">
        <v>1895</v>
      </c>
      <c r="BR51">
        <v>1897</v>
      </c>
      <c r="BS51">
        <v>1892</v>
      </c>
      <c r="BT51">
        <v>1881</v>
      </c>
      <c r="BU51">
        <v>1888</v>
      </c>
      <c r="BV51">
        <v>1897</v>
      </c>
      <c r="BW51">
        <v>1903</v>
      </c>
      <c r="BX51">
        <v>1909</v>
      </c>
      <c r="BY51">
        <v>0</v>
      </c>
      <c r="BZ51">
        <v>0</v>
      </c>
      <c r="CA51">
        <v>0</v>
      </c>
    </row>
    <row r="52" spans="1:79" x14ac:dyDescent="0.5">
      <c r="A52">
        <v>0</v>
      </c>
      <c r="B52">
        <v>0</v>
      </c>
      <c r="C52">
        <v>2433</v>
      </c>
      <c r="D52">
        <v>2448</v>
      </c>
      <c r="E52">
        <v>2419</v>
      </c>
      <c r="F52">
        <v>2378</v>
      </c>
      <c r="G52">
        <v>2348</v>
      </c>
      <c r="H52">
        <v>2321</v>
      </c>
      <c r="I52">
        <v>2294</v>
      </c>
      <c r="J52">
        <v>2280</v>
      </c>
      <c r="K52">
        <v>2286</v>
      </c>
      <c r="L52">
        <v>2294</v>
      </c>
      <c r="M52">
        <v>2303</v>
      </c>
      <c r="N52">
        <v>2309</v>
      </c>
      <c r="O52">
        <v>2311</v>
      </c>
      <c r="P52">
        <v>2305</v>
      </c>
      <c r="Q52">
        <v>2291</v>
      </c>
      <c r="R52">
        <v>2265</v>
      </c>
      <c r="S52">
        <v>2247</v>
      </c>
      <c r="T52">
        <v>2226</v>
      </c>
      <c r="U52">
        <v>2208</v>
      </c>
      <c r="V52">
        <v>2196</v>
      </c>
      <c r="W52">
        <v>2186</v>
      </c>
      <c r="X52">
        <v>2173</v>
      </c>
      <c r="Y52">
        <v>2162</v>
      </c>
      <c r="Z52">
        <v>2147</v>
      </c>
      <c r="AA52">
        <v>2128</v>
      </c>
      <c r="AB52">
        <v>2113</v>
      </c>
      <c r="AC52">
        <v>2100</v>
      </c>
      <c r="AD52">
        <v>2089</v>
      </c>
      <c r="AE52">
        <v>2077</v>
      </c>
      <c r="AF52">
        <v>2063</v>
      </c>
      <c r="AG52">
        <v>2053</v>
      </c>
      <c r="AH52">
        <v>2045</v>
      </c>
      <c r="AI52">
        <v>2037</v>
      </c>
      <c r="AJ52">
        <v>2029</v>
      </c>
      <c r="AK52">
        <v>2020</v>
      </c>
      <c r="AL52">
        <v>2012</v>
      </c>
      <c r="AM52">
        <v>2013</v>
      </c>
      <c r="AN52">
        <v>2017</v>
      </c>
      <c r="AO52">
        <v>2027</v>
      </c>
      <c r="AP52">
        <v>2038</v>
      </c>
      <c r="AQ52">
        <v>2049</v>
      </c>
      <c r="AR52">
        <v>2055</v>
      </c>
      <c r="AS52">
        <v>2060</v>
      </c>
      <c r="AT52">
        <v>2052</v>
      </c>
      <c r="AU52">
        <v>2029</v>
      </c>
      <c r="AV52">
        <v>2008</v>
      </c>
      <c r="AW52">
        <v>2004</v>
      </c>
      <c r="AX52">
        <v>2019</v>
      </c>
      <c r="AY52">
        <v>2052</v>
      </c>
      <c r="AZ52">
        <v>2084</v>
      </c>
      <c r="BA52">
        <v>2104</v>
      </c>
      <c r="BB52">
        <v>2101</v>
      </c>
      <c r="BC52">
        <v>2081</v>
      </c>
      <c r="BD52">
        <v>2054</v>
      </c>
      <c r="BE52">
        <v>2021</v>
      </c>
      <c r="BF52">
        <v>1997</v>
      </c>
      <c r="BG52">
        <v>1977</v>
      </c>
      <c r="BH52">
        <v>1964</v>
      </c>
      <c r="BI52">
        <v>1954</v>
      </c>
      <c r="BJ52">
        <v>1955</v>
      </c>
      <c r="BK52">
        <v>1960</v>
      </c>
      <c r="BL52">
        <v>1962</v>
      </c>
      <c r="BM52">
        <v>1957</v>
      </c>
      <c r="BN52">
        <v>1936</v>
      </c>
      <c r="BO52">
        <v>1917</v>
      </c>
      <c r="BP52">
        <v>1909</v>
      </c>
      <c r="BQ52">
        <v>1910</v>
      </c>
      <c r="BR52">
        <v>1910</v>
      </c>
      <c r="BS52">
        <v>1906</v>
      </c>
      <c r="BT52">
        <v>1891</v>
      </c>
      <c r="BU52">
        <v>1893</v>
      </c>
      <c r="BV52">
        <v>1907</v>
      </c>
      <c r="BW52">
        <v>1914</v>
      </c>
      <c r="BX52">
        <v>1920</v>
      </c>
      <c r="BY52">
        <v>0</v>
      </c>
      <c r="BZ52">
        <v>0</v>
      </c>
      <c r="CA52">
        <v>0</v>
      </c>
    </row>
    <row r="53" spans="1:79" x14ac:dyDescent="0.5">
      <c r="A53">
        <v>0</v>
      </c>
      <c r="B53">
        <v>0</v>
      </c>
      <c r="C53">
        <v>2439</v>
      </c>
      <c r="D53">
        <v>2447</v>
      </c>
      <c r="E53">
        <v>2409</v>
      </c>
      <c r="F53">
        <v>2374</v>
      </c>
      <c r="G53">
        <v>2345</v>
      </c>
      <c r="H53">
        <v>2312</v>
      </c>
      <c r="I53">
        <v>2298</v>
      </c>
      <c r="J53">
        <v>2292</v>
      </c>
      <c r="K53">
        <v>2302</v>
      </c>
      <c r="L53">
        <v>2309</v>
      </c>
      <c r="M53">
        <v>2321</v>
      </c>
      <c r="N53">
        <v>2327</v>
      </c>
      <c r="O53">
        <v>2328</v>
      </c>
      <c r="P53">
        <v>2325</v>
      </c>
      <c r="Q53">
        <v>2315</v>
      </c>
      <c r="R53">
        <v>2295</v>
      </c>
      <c r="S53">
        <v>2267</v>
      </c>
      <c r="T53">
        <v>2246</v>
      </c>
      <c r="U53">
        <v>2227</v>
      </c>
      <c r="V53">
        <v>2208</v>
      </c>
      <c r="W53">
        <v>2196</v>
      </c>
      <c r="X53">
        <v>2185</v>
      </c>
      <c r="Y53">
        <v>2176</v>
      </c>
      <c r="Z53">
        <v>2160</v>
      </c>
      <c r="AA53">
        <v>2138</v>
      </c>
      <c r="AB53">
        <v>2119</v>
      </c>
      <c r="AC53">
        <v>2101</v>
      </c>
      <c r="AD53">
        <v>2088</v>
      </c>
      <c r="AE53">
        <v>2077</v>
      </c>
      <c r="AF53">
        <v>2066</v>
      </c>
      <c r="AG53">
        <v>2055</v>
      </c>
      <c r="AH53">
        <v>2046</v>
      </c>
      <c r="AI53">
        <v>2037</v>
      </c>
      <c r="AJ53">
        <v>2028</v>
      </c>
      <c r="AK53">
        <v>2022</v>
      </c>
      <c r="AL53">
        <v>2015</v>
      </c>
      <c r="AM53">
        <v>2015</v>
      </c>
      <c r="AN53">
        <v>2021</v>
      </c>
      <c r="AO53">
        <v>2031</v>
      </c>
      <c r="AP53">
        <v>2045</v>
      </c>
      <c r="AQ53">
        <v>2055</v>
      </c>
      <c r="AR53">
        <v>2066</v>
      </c>
      <c r="AS53">
        <v>2072</v>
      </c>
      <c r="AT53">
        <v>2071</v>
      </c>
      <c r="AU53">
        <v>2050</v>
      </c>
      <c r="AV53">
        <v>2024</v>
      </c>
      <c r="AW53">
        <v>2017</v>
      </c>
      <c r="AX53">
        <v>2019</v>
      </c>
      <c r="AY53">
        <v>2047</v>
      </c>
      <c r="AZ53">
        <v>2076</v>
      </c>
      <c r="BA53">
        <v>2102</v>
      </c>
      <c r="BB53">
        <v>2108</v>
      </c>
      <c r="BC53">
        <v>2089</v>
      </c>
      <c r="BD53">
        <v>2060</v>
      </c>
      <c r="BE53">
        <v>2033</v>
      </c>
      <c r="BF53">
        <v>2007</v>
      </c>
      <c r="BG53">
        <v>1986</v>
      </c>
      <c r="BH53">
        <v>1973</v>
      </c>
      <c r="BI53">
        <v>1968</v>
      </c>
      <c r="BJ53">
        <v>1966</v>
      </c>
      <c r="BK53">
        <v>1966</v>
      </c>
      <c r="BL53">
        <v>1966</v>
      </c>
      <c r="BM53">
        <v>1959</v>
      </c>
      <c r="BN53">
        <v>1942</v>
      </c>
      <c r="BO53">
        <v>1926</v>
      </c>
      <c r="BP53">
        <v>1919</v>
      </c>
      <c r="BQ53">
        <v>1920</v>
      </c>
      <c r="BR53">
        <v>1922</v>
      </c>
      <c r="BS53">
        <v>1919</v>
      </c>
      <c r="BT53">
        <v>1908</v>
      </c>
      <c r="BU53">
        <v>1900</v>
      </c>
      <c r="BV53">
        <v>1916</v>
      </c>
      <c r="BW53">
        <v>1933</v>
      </c>
      <c r="BX53">
        <v>1936</v>
      </c>
      <c r="BY53">
        <v>1945</v>
      </c>
      <c r="BZ53">
        <v>0</v>
      </c>
      <c r="CA53">
        <v>0</v>
      </c>
    </row>
    <row r="54" spans="1:79" x14ac:dyDescent="0.5">
      <c r="A54">
        <v>0</v>
      </c>
      <c r="B54">
        <v>0</v>
      </c>
      <c r="C54">
        <v>2442</v>
      </c>
      <c r="D54">
        <v>2439</v>
      </c>
      <c r="E54">
        <v>2396</v>
      </c>
      <c r="F54">
        <v>2369</v>
      </c>
      <c r="G54">
        <v>2352</v>
      </c>
      <c r="H54">
        <v>2335</v>
      </c>
      <c r="I54">
        <v>2312</v>
      </c>
      <c r="J54">
        <v>2312</v>
      </c>
      <c r="K54">
        <v>2316</v>
      </c>
      <c r="L54">
        <v>2323</v>
      </c>
      <c r="M54">
        <v>2335</v>
      </c>
      <c r="N54">
        <v>2340</v>
      </c>
      <c r="O54">
        <v>2342</v>
      </c>
      <c r="P54">
        <v>2348</v>
      </c>
      <c r="Q54">
        <v>2343</v>
      </c>
      <c r="R54">
        <v>2316</v>
      </c>
      <c r="S54">
        <v>2292</v>
      </c>
      <c r="T54">
        <v>2271</v>
      </c>
      <c r="U54">
        <v>2244</v>
      </c>
      <c r="V54">
        <v>2224</v>
      </c>
      <c r="W54">
        <v>2210</v>
      </c>
      <c r="X54">
        <v>2198</v>
      </c>
      <c r="Y54">
        <v>2189</v>
      </c>
      <c r="Z54">
        <v>2172</v>
      </c>
      <c r="AA54">
        <v>2148</v>
      </c>
      <c r="AB54">
        <v>2128</v>
      </c>
      <c r="AC54">
        <v>2108</v>
      </c>
      <c r="AD54">
        <v>2089</v>
      </c>
      <c r="AE54">
        <v>2075</v>
      </c>
      <c r="AF54">
        <v>2066</v>
      </c>
      <c r="AG54">
        <v>2054</v>
      </c>
      <c r="AH54">
        <v>2045</v>
      </c>
      <c r="AI54">
        <v>2036</v>
      </c>
      <c r="AJ54">
        <v>2028</v>
      </c>
      <c r="AK54">
        <v>2024</v>
      </c>
      <c r="AL54">
        <v>2018</v>
      </c>
      <c r="AM54">
        <v>2020</v>
      </c>
      <c r="AN54">
        <v>2030</v>
      </c>
      <c r="AO54">
        <v>2044</v>
      </c>
      <c r="AP54">
        <v>2056</v>
      </c>
      <c r="AQ54">
        <v>2073</v>
      </c>
      <c r="AR54">
        <v>2085</v>
      </c>
      <c r="AS54">
        <v>2096</v>
      </c>
      <c r="AT54">
        <v>2096</v>
      </c>
      <c r="AU54">
        <v>2071</v>
      </c>
      <c r="AV54">
        <v>2044</v>
      </c>
      <c r="AW54">
        <v>2035</v>
      </c>
      <c r="AX54">
        <v>2027</v>
      </c>
      <c r="AY54">
        <v>2042</v>
      </c>
      <c r="AZ54">
        <v>2073</v>
      </c>
      <c r="BA54">
        <v>2099</v>
      </c>
      <c r="BB54">
        <v>2111</v>
      </c>
      <c r="BC54">
        <v>2098</v>
      </c>
      <c r="BD54">
        <v>2067</v>
      </c>
      <c r="BE54">
        <v>2042</v>
      </c>
      <c r="BF54">
        <v>2020</v>
      </c>
      <c r="BG54">
        <v>1997</v>
      </c>
      <c r="BH54">
        <v>1983</v>
      </c>
      <c r="BI54">
        <v>1978</v>
      </c>
      <c r="BJ54">
        <v>1979</v>
      </c>
      <c r="BK54">
        <v>1976</v>
      </c>
      <c r="BL54">
        <v>1973</v>
      </c>
      <c r="BM54">
        <v>1969</v>
      </c>
      <c r="BN54">
        <v>1951</v>
      </c>
      <c r="BO54">
        <v>1936</v>
      </c>
      <c r="BP54">
        <v>1929</v>
      </c>
      <c r="BQ54">
        <v>1933</v>
      </c>
      <c r="BR54">
        <v>1936</v>
      </c>
      <c r="BS54">
        <v>1937</v>
      </c>
      <c r="BT54">
        <v>1925</v>
      </c>
      <c r="BU54">
        <v>1912</v>
      </c>
      <c r="BV54">
        <v>1920</v>
      </c>
      <c r="BW54">
        <v>1936</v>
      </c>
      <c r="BX54">
        <v>1944</v>
      </c>
      <c r="BY54">
        <v>1949</v>
      </c>
      <c r="BZ54">
        <v>0</v>
      </c>
      <c r="CA54">
        <v>0</v>
      </c>
    </row>
    <row r="55" spans="1:79" x14ac:dyDescent="0.5">
      <c r="A55">
        <v>0</v>
      </c>
      <c r="B55">
        <v>2449</v>
      </c>
      <c r="C55">
        <v>2441</v>
      </c>
      <c r="D55">
        <v>2440</v>
      </c>
      <c r="E55">
        <v>2416</v>
      </c>
      <c r="F55">
        <v>2391</v>
      </c>
      <c r="G55">
        <v>2366</v>
      </c>
      <c r="H55">
        <v>2348</v>
      </c>
      <c r="I55">
        <v>2324</v>
      </c>
      <c r="J55">
        <v>2330</v>
      </c>
      <c r="K55">
        <v>2328</v>
      </c>
      <c r="L55">
        <v>2339</v>
      </c>
      <c r="M55">
        <v>2347</v>
      </c>
      <c r="N55">
        <v>2352</v>
      </c>
      <c r="O55">
        <v>2356</v>
      </c>
      <c r="P55">
        <v>2362</v>
      </c>
      <c r="Q55">
        <v>2364</v>
      </c>
      <c r="R55">
        <v>2336</v>
      </c>
      <c r="S55">
        <v>2311</v>
      </c>
      <c r="T55">
        <v>2290</v>
      </c>
      <c r="U55">
        <v>2263</v>
      </c>
      <c r="V55">
        <v>2240</v>
      </c>
      <c r="W55">
        <v>2222</v>
      </c>
      <c r="X55">
        <v>2208</v>
      </c>
      <c r="Y55">
        <v>2196</v>
      </c>
      <c r="Z55">
        <v>2180</v>
      </c>
      <c r="AA55">
        <v>2158</v>
      </c>
      <c r="AB55">
        <v>2137</v>
      </c>
      <c r="AC55">
        <v>2115</v>
      </c>
      <c r="AD55">
        <v>2092</v>
      </c>
      <c r="AE55">
        <v>2077</v>
      </c>
      <c r="AF55">
        <v>2065</v>
      </c>
      <c r="AG55">
        <v>2054</v>
      </c>
      <c r="AH55">
        <v>2044</v>
      </c>
      <c r="AI55">
        <v>2036</v>
      </c>
      <c r="AJ55">
        <v>2029</v>
      </c>
      <c r="AK55">
        <v>2026</v>
      </c>
      <c r="AL55">
        <v>2021</v>
      </c>
      <c r="AM55">
        <v>2027</v>
      </c>
      <c r="AN55">
        <v>2040</v>
      </c>
      <c r="AO55">
        <v>2055</v>
      </c>
      <c r="AP55">
        <v>2072</v>
      </c>
      <c r="AQ55">
        <v>2090</v>
      </c>
      <c r="AR55">
        <v>2106</v>
      </c>
      <c r="AS55">
        <v>2118</v>
      </c>
      <c r="AT55">
        <v>2119</v>
      </c>
      <c r="AU55">
        <v>2088</v>
      </c>
      <c r="AV55">
        <v>2063</v>
      </c>
      <c r="AW55">
        <v>2049</v>
      </c>
      <c r="AX55">
        <v>2042</v>
      </c>
      <c r="AY55">
        <v>2048</v>
      </c>
      <c r="AZ55">
        <v>2070</v>
      </c>
      <c r="BA55">
        <v>2095</v>
      </c>
      <c r="BB55">
        <v>2115</v>
      </c>
      <c r="BC55">
        <v>2108</v>
      </c>
      <c r="BD55">
        <v>2077</v>
      </c>
      <c r="BE55">
        <v>2052</v>
      </c>
      <c r="BF55">
        <v>2036</v>
      </c>
      <c r="BG55">
        <v>2017</v>
      </c>
      <c r="BH55">
        <v>1995</v>
      </c>
      <c r="BI55">
        <v>1991</v>
      </c>
      <c r="BJ55">
        <v>1989</v>
      </c>
      <c r="BK55">
        <v>1987</v>
      </c>
      <c r="BL55">
        <v>1981</v>
      </c>
      <c r="BM55">
        <v>1974</v>
      </c>
      <c r="BN55">
        <v>1961</v>
      </c>
      <c r="BO55">
        <v>1950</v>
      </c>
      <c r="BP55">
        <v>1941</v>
      </c>
      <c r="BQ55">
        <v>1945</v>
      </c>
      <c r="BR55">
        <v>1950</v>
      </c>
      <c r="BS55">
        <v>1951</v>
      </c>
      <c r="BT55">
        <v>1949</v>
      </c>
      <c r="BU55">
        <v>1924</v>
      </c>
      <c r="BV55">
        <v>1931</v>
      </c>
      <c r="BW55">
        <v>1941</v>
      </c>
      <c r="BX55">
        <v>1948</v>
      </c>
      <c r="BY55">
        <v>1955</v>
      </c>
      <c r="BZ55">
        <v>0</v>
      </c>
      <c r="CA55">
        <v>0</v>
      </c>
    </row>
    <row r="56" spans="1:79" x14ac:dyDescent="0.5">
      <c r="A56">
        <v>0</v>
      </c>
      <c r="B56">
        <v>2444</v>
      </c>
      <c r="C56">
        <v>2430</v>
      </c>
      <c r="D56">
        <v>2428</v>
      </c>
      <c r="E56">
        <v>2418</v>
      </c>
      <c r="F56">
        <v>2408</v>
      </c>
      <c r="G56">
        <v>2387</v>
      </c>
      <c r="H56">
        <v>2358</v>
      </c>
      <c r="I56">
        <v>2349</v>
      </c>
      <c r="J56">
        <v>2339</v>
      </c>
      <c r="K56">
        <v>2336</v>
      </c>
      <c r="L56">
        <v>2352</v>
      </c>
      <c r="M56">
        <v>2361</v>
      </c>
      <c r="N56">
        <v>2362</v>
      </c>
      <c r="O56">
        <v>2367</v>
      </c>
      <c r="P56">
        <v>2375</v>
      </c>
      <c r="Q56">
        <v>2376</v>
      </c>
      <c r="R56">
        <v>2354</v>
      </c>
      <c r="S56">
        <v>2333</v>
      </c>
      <c r="T56">
        <v>2311</v>
      </c>
      <c r="U56">
        <v>2288</v>
      </c>
      <c r="V56">
        <v>2261</v>
      </c>
      <c r="W56">
        <v>2237</v>
      </c>
      <c r="X56">
        <v>2220</v>
      </c>
      <c r="Y56">
        <v>2203</v>
      </c>
      <c r="Z56">
        <v>2189</v>
      </c>
      <c r="AA56">
        <v>2168</v>
      </c>
      <c r="AB56">
        <v>2146</v>
      </c>
      <c r="AC56">
        <v>2121</v>
      </c>
      <c r="AD56">
        <v>2095</v>
      </c>
      <c r="AE56">
        <v>2082</v>
      </c>
      <c r="AF56">
        <v>2069</v>
      </c>
      <c r="AG56">
        <v>2055</v>
      </c>
      <c r="AH56">
        <v>2044</v>
      </c>
      <c r="AI56">
        <v>2038</v>
      </c>
      <c r="AJ56">
        <v>2033</v>
      </c>
      <c r="AK56">
        <v>2029</v>
      </c>
      <c r="AL56">
        <v>2026</v>
      </c>
      <c r="AM56">
        <v>2033</v>
      </c>
      <c r="AN56">
        <v>2047</v>
      </c>
      <c r="AO56">
        <v>2065</v>
      </c>
      <c r="AP56">
        <v>2084</v>
      </c>
      <c r="AQ56">
        <v>2105</v>
      </c>
      <c r="AR56">
        <v>2122</v>
      </c>
      <c r="AS56">
        <v>2137</v>
      </c>
      <c r="AT56">
        <v>2137</v>
      </c>
      <c r="AU56">
        <v>2102</v>
      </c>
      <c r="AV56">
        <v>2081</v>
      </c>
      <c r="AW56">
        <v>2065</v>
      </c>
      <c r="AX56">
        <v>2058</v>
      </c>
      <c r="AY56">
        <v>2053</v>
      </c>
      <c r="AZ56">
        <v>2066</v>
      </c>
      <c r="BA56">
        <v>2094</v>
      </c>
      <c r="BB56">
        <v>2117</v>
      </c>
      <c r="BC56">
        <v>2115</v>
      </c>
      <c r="BD56">
        <v>2085</v>
      </c>
      <c r="BE56">
        <v>2065</v>
      </c>
      <c r="BF56">
        <v>2047</v>
      </c>
      <c r="BG56">
        <v>2029</v>
      </c>
      <c r="BH56">
        <v>2011</v>
      </c>
      <c r="BI56">
        <v>2001</v>
      </c>
      <c r="BJ56">
        <v>2002</v>
      </c>
      <c r="BK56">
        <v>2001</v>
      </c>
      <c r="BL56">
        <v>1991</v>
      </c>
      <c r="BM56">
        <v>1979</v>
      </c>
      <c r="BN56">
        <v>1969</v>
      </c>
      <c r="BO56">
        <v>1959</v>
      </c>
      <c r="BP56">
        <v>1953</v>
      </c>
      <c r="BQ56">
        <v>1955</v>
      </c>
      <c r="BR56">
        <v>1963</v>
      </c>
      <c r="BS56">
        <v>1968</v>
      </c>
      <c r="BT56">
        <v>1963</v>
      </c>
      <c r="BU56">
        <v>1935</v>
      </c>
      <c r="BV56">
        <v>1940</v>
      </c>
      <c r="BW56">
        <v>1952</v>
      </c>
      <c r="BX56">
        <v>1958</v>
      </c>
      <c r="BY56">
        <v>1959</v>
      </c>
      <c r="BZ56">
        <v>0</v>
      </c>
      <c r="CA56">
        <v>0</v>
      </c>
    </row>
    <row r="57" spans="1:79" x14ac:dyDescent="0.5">
      <c r="A57">
        <v>2473</v>
      </c>
      <c r="B57">
        <v>2434</v>
      </c>
      <c r="C57">
        <v>2404</v>
      </c>
      <c r="D57">
        <v>2417</v>
      </c>
      <c r="E57">
        <v>2420</v>
      </c>
      <c r="F57">
        <v>2415</v>
      </c>
      <c r="G57">
        <v>2390</v>
      </c>
      <c r="H57">
        <v>2391</v>
      </c>
      <c r="I57">
        <v>2364</v>
      </c>
      <c r="J57">
        <v>2350</v>
      </c>
      <c r="K57">
        <v>2365</v>
      </c>
      <c r="L57">
        <v>2376</v>
      </c>
      <c r="M57">
        <v>2377</v>
      </c>
      <c r="N57">
        <v>2375</v>
      </c>
      <c r="O57">
        <v>2381</v>
      </c>
      <c r="P57">
        <v>2388</v>
      </c>
      <c r="Q57">
        <v>2389</v>
      </c>
      <c r="R57">
        <v>2374</v>
      </c>
      <c r="S57">
        <v>2357</v>
      </c>
      <c r="T57">
        <v>2333</v>
      </c>
      <c r="U57">
        <v>2306</v>
      </c>
      <c r="V57">
        <v>2284</v>
      </c>
      <c r="W57">
        <v>2252</v>
      </c>
      <c r="X57">
        <v>2233</v>
      </c>
      <c r="Y57">
        <v>2213</v>
      </c>
      <c r="Z57">
        <v>2196</v>
      </c>
      <c r="AA57">
        <v>2178</v>
      </c>
      <c r="AB57">
        <v>2156</v>
      </c>
      <c r="AC57">
        <v>2126</v>
      </c>
      <c r="AD57">
        <v>2104</v>
      </c>
      <c r="AE57">
        <v>2086</v>
      </c>
      <c r="AF57">
        <v>2070</v>
      </c>
      <c r="AG57">
        <v>2057</v>
      </c>
      <c r="AH57">
        <v>2046</v>
      </c>
      <c r="AI57">
        <v>2039</v>
      </c>
      <c r="AJ57">
        <v>2034</v>
      </c>
      <c r="AK57">
        <v>2030</v>
      </c>
      <c r="AL57">
        <v>2031</v>
      </c>
      <c r="AM57">
        <v>2038</v>
      </c>
      <c r="AN57">
        <v>2050</v>
      </c>
      <c r="AO57">
        <v>2065</v>
      </c>
      <c r="AP57">
        <v>2085</v>
      </c>
      <c r="AQ57">
        <v>2109</v>
      </c>
      <c r="AR57">
        <v>2124</v>
      </c>
      <c r="AS57">
        <v>2139</v>
      </c>
      <c r="AT57">
        <v>2146</v>
      </c>
      <c r="AU57">
        <v>2125</v>
      </c>
      <c r="AV57">
        <v>2097</v>
      </c>
      <c r="AW57">
        <v>2081</v>
      </c>
      <c r="AX57">
        <v>2072</v>
      </c>
      <c r="AY57">
        <v>2064</v>
      </c>
      <c r="AZ57">
        <v>2072</v>
      </c>
      <c r="BA57">
        <v>2094</v>
      </c>
      <c r="BB57">
        <v>2121</v>
      </c>
      <c r="BC57">
        <v>2128</v>
      </c>
      <c r="BD57">
        <v>2098</v>
      </c>
      <c r="BE57">
        <v>2078</v>
      </c>
      <c r="BF57">
        <v>2060</v>
      </c>
      <c r="BG57">
        <v>2044</v>
      </c>
      <c r="BH57">
        <v>2029</v>
      </c>
      <c r="BI57">
        <v>2015</v>
      </c>
      <c r="BJ57">
        <v>2020</v>
      </c>
      <c r="BK57">
        <v>2018</v>
      </c>
      <c r="BL57">
        <v>2005</v>
      </c>
      <c r="BM57">
        <v>1989</v>
      </c>
      <c r="BN57">
        <v>1979</v>
      </c>
      <c r="BO57">
        <v>1971</v>
      </c>
      <c r="BP57">
        <v>1963</v>
      </c>
      <c r="BQ57">
        <v>1964</v>
      </c>
      <c r="BR57">
        <v>1971</v>
      </c>
      <c r="BS57">
        <v>1978</v>
      </c>
      <c r="BT57">
        <v>1973</v>
      </c>
      <c r="BU57">
        <v>1946</v>
      </c>
      <c r="BV57">
        <v>1953</v>
      </c>
      <c r="BW57">
        <v>1958</v>
      </c>
      <c r="BX57">
        <v>1962</v>
      </c>
      <c r="BY57">
        <v>1964</v>
      </c>
      <c r="BZ57">
        <v>0</v>
      </c>
      <c r="CA57">
        <v>0</v>
      </c>
    </row>
    <row r="58" spans="1:79" x14ac:dyDescent="0.5">
      <c r="A58">
        <v>2476</v>
      </c>
      <c r="B58">
        <v>2432</v>
      </c>
      <c r="C58">
        <v>2408</v>
      </c>
      <c r="D58">
        <v>2418</v>
      </c>
      <c r="E58">
        <v>2408</v>
      </c>
      <c r="F58">
        <v>2400</v>
      </c>
      <c r="G58">
        <v>2413</v>
      </c>
      <c r="H58">
        <v>2409</v>
      </c>
      <c r="I58">
        <v>2375</v>
      </c>
      <c r="J58">
        <v>2377</v>
      </c>
      <c r="K58">
        <v>2387</v>
      </c>
      <c r="L58">
        <v>2396</v>
      </c>
      <c r="M58">
        <v>2397</v>
      </c>
      <c r="N58">
        <v>2388</v>
      </c>
      <c r="O58">
        <v>2393</v>
      </c>
      <c r="P58">
        <v>2399</v>
      </c>
      <c r="Q58">
        <v>2403</v>
      </c>
      <c r="R58">
        <v>2390</v>
      </c>
      <c r="S58">
        <v>2368</v>
      </c>
      <c r="T58">
        <v>2344</v>
      </c>
      <c r="U58">
        <v>2318</v>
      </c>
      <c r="V58">
        <v>2296</v>
      </c>
      <c r="W58">
        <v>2272</v>
      </c>
      <c r="X58">
        <v>2246</v>
      </c>
      <c r="Y58">
        <v>2226</v>
      </c>
      <c r="Z58">
        <v>2206</v>
      </c>
      <c r="AA58">
        <v>2188</v>
      </c>
      <c r="AB58">
        <v>2163</v>
      </c>
      <c r="AC58">
        <v>2135</v>
      </c>
      <c r="AD58">
        <v>2110</v>
      </c>
      <c r="AE58">
        <v>2093</v>
      </c>
      <c r="AF58">
        <v>2075</v>
      </c>
      <c r="AG58">
        <v>2061</v>
      </c>
      <c r="AH58">
        <v>2050</v>
      </c>
      <c r="AI58">
        <v>2041</v>
      </c>
      <c r="AJ58">
        <v>2036</v>
      </c>
      <c r="AK58">
        <v>2033</v>
      </c>
      <c r="AL58">
        <v>2033</v>
      </c>
      <c r="AM58">
        <v>2039</v>
      </c>
      <c r="AN58">
        <v>2048</v>
      </c>
      <c r="AO58">
        <v>2061</v>
      </c>
      <c r="AP58">
        <v>2080</v>
      </c>
      <c r="AQ58">
        <v>2099</v>
      </c>
      <c r="AR58">
        <v>2116</v>
      </c>
      <c r="AS58">
        <v>2137</v>
      </c>
      <c r="AT58">
        <v>2149</v>
      </c>
      <c r="AU58">
        <v>2154</v>
      </c>
      <c r="AV58">
        <v>2120</v>
      </c>
      <c r="AW58">
        <v>2101</v>
      </c>
      <c r="AX58">
        <v>2089</v>
      </c>
      <c r="AY58">
        <v>2081</v>
      </c>
      <c r="AZ58">
        <v>2081</v>
      </c>
      <c r="BA58">
        <v>2098</v>
      </c>
      <c r="BB58">
        <v>2125</v>
      </c>
      <c r="BC58">
        <v>2137</v>
      </c>
      <c r="BD58">
        <v>2113</v>
      </c>
      <c r="BE58">
        <v>2093</v>
      </c>
      <c r="BF58">
        <v>2076</v>
      </c>
      <c r="BG58">
        <v>2060</v>
      </c>
      <c r="BH58">
        <v>2043</v>
      </c>
      <c r="BI58">
        <v>2032</v>
      </c>
      <c r="BJ58">
        <v>2036</v>
      </c>
      <c r="BK58">
        <v>2033</v>
      </c>
      <c r="BL58">
        <v>2021</v>
      </c>
      <c r="BM58">
        <v>2005</v>
      </c>
      <c r="BN58">
        <v>1992</v>
      </c>
      <c r="BO58">
        <v>1982</v>
      </c>
      <c r="BP58">
        <v>1976</v>
      </c>
      <c r="BQ58">
        <v>1976</v>
      </c>
      <c r="BR58">
        <v>1981</v>
      </c>
      <c r="BS58">
        <v>1978</v>
      </c>
      <c r="BT58">
        <v>1970</v>
      </c>
      <c r="BU58">
        <v>1957</v>
      </c>
      <c r="BV58">
        <v>1964</v>
      </c>
      <c r="BW58">
        <v>1966</v>
      </c>
      <c r="BX58">
        <v>1967</v>
      </c>
      <c r="BY58">
        <v>1969</v>
      </c>
      <c r="BZ58">
        <v>0</v>
      </c>
      <c r="CA58">
        <v>0</v>
      </c>
    </row>
    <row r="59" spans="1:79" x14ac:dyDescent="0.5">
      <c r="A59">
        <v>2483</v>
      </c>
      <c r="B59">
        <v>2446</v>
      </c>
      <c r="C59">
        <v>2419</v>
      </c>
      <c r="D59">
        <v>2425</v>
      </c>
      <c r="E59">
        <v>2414</v>
      </c>
      <c r="F59">
        <v>2406</v>
      </c>
      <c r="G59">
        <v>2431</v>
      </c>
      <c r="H59">
        <v>2429</v>
      </c>
      <c r="I59">
        <v>2417</v>
      </c>
      <c r="J59">
        <v>2403</v>
      </c>
      <c r="K59">
        <v>2409</v>
      </c>
      <c r="L59">
        <v>2416</v>
      </c>
      <c r="M59">
        <v>2413</v>
      </c>
      <c r="N59">
        <v>2407</v>
      </c>
      <c r="O59">
        <v>2407</v>
      </c>
      <c r="P59">
        <v>2409</v>
      </c>
      <c r="Q59">
        <v>2417</v>
      </c>
      <c r="R59">
        <v>2402</v>
      </c>
      <c r="S59">
        <v>2379</v>
      </c>
      <c r="T59">
        <v>2355</v>
      </c>
      <c r="U59">
        <v>2325</v>
      </c>
      <c r="V59">
        <v>2305</v>
      </c>
      <c r="W59">
        <v>2283</v>
      </c>
      <c r="X59">
        <v>2256</v>
      </c>
      <c r="Y59">
        <v>2235</v>
      </c>
      <c r="Z59">
        <v>2216</v>
      </c>
      <c r="AA59">
        <v>2194</v>
      </c>
      <c r="AB59">
        <v>2168</v>
      </c>
      <c r="AC59">
        <v>2140</v>
      </c>
      <c r="AD59">
        <v>2118</v>
      </c>
      <c r="AE59">
        <v>2097</v>
      </c>
      <c r="AF59">
        <v>2081</v>
      </c>
      <c r="AG59">
        <v>2064</v>
      </c>
      <c r="AH59">
        <v>2053</v>
      </c>
      <c r="AI59">
        <v>2043</v>
      </c>
      <c r="AJ59">
        <v>2038</v>
      </c>
      <c r="AK59">
        <v>2034</v>
      </c>
      <c r="AL59">
        <v>2035</v>
      </c>
      <c r="AM59">
        <v>2041</v>
      </c>
      <c r="AN59">
        <v>2048</v>
      </c>
      <c r="AO59">
        <v>2061</v>
      </c>
      <c r="AP59">
        <v>2078</v>
      </c>
      <c r="AQ59">
        <v>2098</v>
      </c>
      <c r="AR59">
        <v>2116</v>
      </c>
      <c r="AS59">
        <v>2135</v>
      </c>
      <c r="AT59">
        <v>2153</v>
      </c>
      <c r="AU59">
        <v>2160</v>
      </c>
      <c r="AV59">
        <v>2146</v>
      </c>
      <c r="AW59">
        <v>2119</v>
      </c>
      <c r="AX59">
        <v>2107</v>
      </c>
      <c r="AY59">
        <v>2098</v>
      </c>
      <c r="AZ59">
        <v>2095</v>
      </c>
      <c r="BA59">
        <v>2102</v>
      </c>
      <c r="BB59">
        <v>2129</v>
      </c>
      <c r="BC59">
        <v>2143</v>
      </c>
      <c r="BD59">
        <v>2128</v>
      </c>
      <c r="BE59">
        <v>2108</v>
      </c>
      <c r="BF59">
        <v>2094</v>
      </c>
      <c r="BG59">
        <v>2079</v>
      </c>
      <c r="BH59">
        <v>2062</v>
      </c>
      <c r="BI59">
        <v>2049</v>
      </c>
      <c r="BJ59">
        <v>2053</v>
      </c>
      <c r="BK59">
        <v>2047</v>
      </c>
      <c r="BL59">
        <v>2035</v>
      </c>
      <c r="BM59">
        <v>2019</v>
      </c>
      <c r="BN59">
        <v>2002</v>
      </c>
      <c r="BO59">
        <v>1996</v>
      </c>
      <c r="BP59">
        <v>1988</v>
      </c>
      <c r="BQ59">
        <v>1990</v>
      </c>
      <c r="BR59">
        <v>1989</v>
      </c>
      <c r="BS59">
        <v>1979</v>
      </c>
      <c r="BT59">
        <v>1970</v>
      </c>
      <c r="BU59">
        <v>1968</v>
      </c>
      <c r="BV59">
        <v>1972</v>
      </c>
      <c r="BW59">
        <v>1971</v>
      </c>
      <c r="BX59">
        <v>1973</v>
      </c>
      <c r="BY59">
        <v>1979</v>
      </c>
      <c r="BZ59">
        <v>1986</v>
      </c>
      <c r="CA59">
        <v>0</v>
      </c>
    </row>
    <row r="60" spans="1:79" x14ac:dyDescent="0.5">
      <c r="A60">
        <v>0</v>
      </c>
      <c r="B60">
        <v>2467</v>
      </c>
      <c r="C60">
        <v>2455</v>
      </c>
      <c r="D60">
        <v>2458</v>
      </c>
      <c r="E60">
        <v>2448</v>
      </c>
      <c r="F60">
        <v>2433</v>
      </c>
      <c r="G60">
        <v>2458</v>
      </c>
      <c r="H60">
        <v>2461</v>
      </c>
      <c r="I60">
        <v>2456</v>
      </c>
      <c r="J60">
        <v>2443</v>
      </c>
      <c r="K60">
        <v>2443</v>
      </c>
      <c r="L60">
        <v>2436</v>
      </c>
      <c r="M60">
        <v>2424</v>
      </c>
      <c r="N60">
        <v>0</v>
      </c>
      <c r="O60">
        <v>0</v>
      </c>
      <c r="P60">
        <v>0</v>
      </c>
      <c r="Q60">
        <v>2426</v>
      </c>
      <c r="R60">
        <v>2412</v>
      </c>
      <c r="S60">
        <v>2389</v>
      </c>
      <c r="T60">
        <v>2362</v>
      </c>
      <c r="U60">
        <v>2336</v>
      </c>
      <c r="V60">
        <v>2311</v>
      </c>
      <c r="W60">
        <v>2287</v>
      </c>
      <c r="X60">
        <v>2271</v>
      </c>
      <c r="Y60">
        <v>2255</v>
      </c>
      <c r="Z60">
        <v>2229</v>
      </c>
      <c r="AA60">
        <v>2202</v>
      </c>
      <c r="AB60">
        <v>2173</v>
      </c>
      <c r="AC60">
        <v>2150</v>
      </c>
      <c r="AD60">
        <v>2125</v>
      </c>
      <c r="AE60">
        <v>2100</v>
      </c>
      <c r="AF60">
        <v>2086</v>
      </c>
      <c r="AG60">
        <v>2070</v>
      </c>
      <c r="AH60">
        <v>2056</v>
      </c>
      <c r="AI60">
        <v>2047</v>
      </c>
      <c r="AJ60">
        <v>2040</v>
      </c>
      <c r="AK60">
        <v>2036</v>
      </c>
      <c r="AL60">
        <v>2037</v>
      </c>
      <c r="AM60">
        <v>2041</v>
      </c>
      <c r="AN60">
        <v>2049</v>
      </c>
      <c r="AO60">
        <v>2060</v>
      </c>
      <c r="AP60">
        <v>2079</v>
      </c>
      <c r="AQ60">
        <v>2098</v>
      </c>
      <c r="AR60">
        <v>2115</v>
      </c>
      <c r="AS60">
        <v>2138</v>
      </c>
      <c r="AT60">
        <v>2161</v>
      </c>
      <c r="AU60">
        <v>2171</v>
      </c>
      <c r="AV60">
        <v>2163</v>
      </c>
      <c r="AW60">
        <v>2142</v>
      </c>
      <c r="AX60">
        <v>2121</v>
      </c>
      <c r="AY60">
        <v>2112</v>
      </c>
      <c r="AZ60">
        <v>2109</v>
      </c>
      <c r="BA60">
        <v>2108</v>
      </c>
      <c r="BB60">
        <v>2128</v>
      </c>
      <c r="BC60">
        <v>2145</v>
      </c>
      <c r="BD60">
        <v>2139</v>
      </c>
      <c r="BE60">
        <v>2124</v>
      </c>
      <c r="BF60">
        <v>2111</v>
      </c>
      <c r="BG60">
        <v>2094</v>
      </c>
      <c r="BH60">
        <v>2081</v>
      </c>
      <c r="BI60">
        <v>2071</v>
      </c>
      <c r="BJ60">
        <v>2077</v>
      </c>
      <c r="BK60">
        <v>2071</v>
      </c>
      <c r="BL60">
        <v>2053</v>
      </c>
      <c r="BM60">
        <v>2035</v>
      </c>
      <c r="BN60">
        <v>2018</v>
      </c>
      <c r="BO60">
        <v>2011</v>
      </c>
      <c r="BP60">
        <v>2005</v>
      </c>
      <c r="BQ60">
        <v>2003</v>
      </c>
      <c r="BR60">
        <v>1994</v>
      </c>
      <c r="BS60">
        <v>1981</v>
      </c>
      <c r="BT60">
        <v>1974</v>
      </c>
      <c r="BU60">
        <v>1976</v>
      </c>
      <c r="BV60">
        <v>1979</v>
      </c>
      <c r="BW60">
        <v>1978</v>
      </c>
      <c r="BX60">
        <v>1982</v>
      </c>
      <c r="BY60">
        <v>1990</v>
      </c>
      <c r="BZ60">
        <v>1995</v>
      </c>
      <c r="CA60">
        <v>1998</v>
      </c>
    </row>
    <row r="61" spans="1:79" x14ac:dyDescent="0.5">
      <c r="A61">
        <v>0</v>
      </c>
      <c r="B61">
        <v>0</v>
      </c>
      <c r="C61">
        <v>2484</v>
      </c>
      <c r="D61">
        <v>2504</v>
      </c>
      <c r="E61">
        <v>2485</v>
      </c>
      <c r="F61">
        <v>2482</v>
      </c>
      <c r="G61">
        <v>2481</v>
      </c>
      <c r="H61">
        <v>2477</v>
      </c>
      <c r="I61">
        <v>2486</v>
      </c>
      <c r="J61">
        <v>2488</v>
      </c>
      <c r="K61">
        <v>2471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2419</v>
      </c>
      <c r="S61">
        <v>2392</v>
      </c>
      <c r="T61">
        <v>2367</v>
      </c>
      <c r="U61">
        <v>2341</v>
      </c>
      <c r="V61">
        <v>2313</v>
      </c>
      <c r="W61">
        <v>2291</v>
      </c>
      <c r="X61">
        <v>2273</v>
      </c>
      <c r="Y61">
        <v>2265</v>
      </c>
      <c r="Z61">
        <v>2233</v>
      </c>
      <c r="AA61">
        <v>2206</v>
      </c>
      <c r="AB61">
        <v>2180</v>
      </c>
      <c r="AC61">
        <v>2156</v>
      </c>
      <c r="AD61">
        <v>2128</v>
      </c>
      <c r="AE61">
        <v>2108</v>
      </c>
      <c r="AF61">
        <v>2094</v>
      </c>
      <c r="AG61">
        <v>2073</v>
      </c>
      <c r="AH61">
        <v>2060</v>
      </c>
      <c r="AI61">
        <v>2051</v>
      </c>
      <c r="AJ61">
        <v>2042</v>
      </c>
      <c r="AK61">
        <v>2039</v>
      </c>
      <c r="AL61">
        <v>2038</v>
      </c>
      <c r="AM61">
        <v>2042</v>
      </c>
      <c r="AN61">
        <v>2049</v>
      </c>
      <c r="AO61">
        <v>2061</v>
      </c>
      <c r="AP61">
        <v>2077</v>
      </c>
      <c r="AQ61">
        <v>2097</v>
      </c>
      <c r="AR61">
        <v>2117</v>
      </c>
      <c r="AS61">
        <v>2139</v>
      </c>
      <c r="AT61">
        <v>2165</v>
      </c>
      <c r="AU61">
        <v>2186</v>
      </c>
      <c r="AV61">
        <v>2182</v>
      </c>
      <c r="AW61">
        <v>2159</v>
      </c>
      <c r="AX61">
        <v>2139</v>
      </c>
      <c r="AY61">
        <v>2124</v>
      </c>
      <c r="AZ61">
        <v>2118</v>
      </c>
      <c r="BA61">
        <v>2119</v>
      </c>
      <c r="BB61">
        <v>2127</v>
      </c>
      <c r="BC61">
        <v>2145</v>
      </c>
      <c r="BD61">
        <v>2149</v>
      </c>
      <c r="BE61">
        <v>2141</v>
      </c>
      <c r="BF61">
        <v>2128</v>
      </c>
      <c r="BG61">
        <v>2111</v>
      </c>
      <c r="BH61">
        <v>2098</v>
      </c>
      <c r="BI61">
        <v>2088</v>
      </c>
      <c r="BJ61">
        <v>2094</v>
      </c>
      <c r="BK61">
        <v>2094</v>
      </c>
      <c r="BL61">
        <v>2072</v>
      </c>
      <c r="BM61">
        <v>2053</v>
      </c>
      <c r="BN61">
        <v>2037</v>
      </c>
      <c r="BO61">
        <v>2025</v>
      </c>
      <c r="BP61">
        <v>2016</v>
      </c>
      <c r="BQ61">
        <v>2010</v>
      </c>
      <c r="BR61">
        <v>1995</v>
      </c>
      <c r="BS61">
        <v>1986</v>
      </c>
      <c r="BT61">
        <v>1980</v>
      </c>
      <c r="BU61">
        <v>1984</v>
      </c>
      <c r="BV61">
        <v>1986</v>
      </c>
      <c r="BW61">
        <v>1986</v>
      </c>
      <c r="BX61">
        <v>1993</v>
      </c>
      <c r="BY61">
        <v>1999</v>
      </c>
      <c r="BZ61">
        <v>2002</v>
      </c>
      <c r="CA61">
        <v>2005</v>
      </c>
    </row>
    <row r="62" spans="1:79" x14ac:dyDescent="0.5">
      <c r="A62">
        <v>0</v>
      </c>
      <c r="B62">
        <v>0</v>
      </c>
      <c r="C62">
        <v>0</v>
      </c>
      <c r="D62">
        <v>2509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2370</v>
      </c>
      <c r="U62">
        <v>2344</v>
      </c>
      <c r="V62">
        <v>2316</v>
      </c>
      <c r="W62">
        <v>2290</v>
      </c>
      <c r="X62">
        <v>2275</v>
      </c>
      <c r="Y62">
        <v>2260</v>
      </c>
      <c r="Z62">
        <v>2232</v>
      </c>
      <c r="AA62">
        <v>2211</v>
      </c>
      <c r="AB62">
        <v>2186</v>
      </c>
      <c r="AC62">
        <v>2159</v>
      </c>
      <c r="AD62">
        <v>2134</v>
      </c>
      <c r="AE62">
        <v>2113</v>
      </c>
      <c r="AF62">
        <v>2096</v>
      </c>
      <c r="AG62">
        <v>2078</v>
      </c>
      <c r="AH62">
        <v>2064</v>
      </c>
      <c r="AI62">
        <v>2054</v>
      </c>
      <c r="AJ62">
        <v>2046</v>
      </c>
      <c r="AK62">
        <v>2042</v>
      </c>
      <c r="AL62">
        <v>2040</v>
      </c>
      <c r="AM62">
        <v>2042</v>
      </c>
      <c r="AN62">
        <v>2050</v>
      </c>
      <c r="AO62">
        <v>2061</v>
      </c>
      <c r="AP62">
        <v>2076</v>
      </c>
      <c r="AQ62">
        <v>2097</v>
      </c>
      <c r="AR62">
        <v>2115</v>
      </c>
      <c r="AS62">
        <v>2136</v>
      </c>
      <c r="AT62">
        <v>2163</v>
      </c>
      <c r="AU62">
        <v>2189</v>
      </c>
      <c r="AV62">
        <v>2196</v>
      </c>
      <c r="AW62">
        <v>2184</v>
      </c>
      <c r="AX62">
        <v>2156</v>
      </c>
      <c r="AY62">
        <v>2140</v>
      </c>
      <c r="AZ62">
        <v>2130</v>
      </c>
      <c r="BA62">
        <v>2129</v>
      </c>
      <c r="BB62">
        <v>2131</v>
      </c>
      <c r="BC62">
        <v>2143</v>
      </c>
      <c r="BD62">
        <v>2157</v>
      </c>
      <c r="BE62">
        <v>2157</v>
      </c>
      <c r="BF62">
        <v>2146</v>
      </c>
      <c r="BG62">
        <v>2132</v>
      </c>
      <c r="BH62">
        <v>2118</v>
      </c>
      <c r="BI62">
        <v>2102</v>
      </c>
      <c r="BJ62">
        <v>2112</v>
      </c>
      <c r="BK62">
        <v>2109</v>
      </c>
      <c r="BL62">
        <v>2093</v>
      </c>
      <c r="BM62">
        <v>2072</v>
      </c>
      <c r="BN62">
        <v>2055</v>
      </c>
      <c r="BO62">
        <v>2041</v>
      </c>
      <c r="BP62">
        <v>2025</v>
      </c>
      <c r="BQ62">
        <v>2010</v>
      </c>
      <c r="BR62">
        <v>1999</v>
      </c>
      <c r="BS62">
        <v>1990</v>
      </c>
      <c r="BT62">
        <v>1989</v>
      </c>
      <c r="BU62">
        <v>1992</v>
      </c>
      <c r="BV62">
        <v>1991</v>
      </c>
      <c r="BW62">
        <v>1995</v>
      </c>
      <c r="BX62">
        <v>2000</v>
      </c>
      <c r="BY62">
        <v>2006</v>
      </c>
      <c r="BZ62">
        <v>2010</v>
      </c>
      <c r="CA62">
        <v>2013</v>
      </c>
    </row>
    <row r="63" spans="1:79" x14ac:dyDescent="0.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2372</v>
      </c>
      <c r="U63">
        <v>2347</v>
      </c>
      <c r="V63">
        <v>2312</v>
      </c>
      <c r="W63">
        <v>2290</v>
      </c>
      <c r="X63">
        <v>2274</v>
      </c>
      <c r="Y63">
        <v>2260</v>
      </c>
      <c r="Z63">
        <v>2235</v>
      </c>
      <c r="AA63">
        <v>2214</v>
      </c>
      <c r="AB63">
        <v>2190</v>
      </c>
      <c r="AC63">
        <v>2166</v>
      </c>
      <c r="AD63">
        <v>2136</v>
      </c>
      <c r="AE63">
        <v>2116</v>
      </c>
      <c r="AF63">
        <v>2101</v>
      </c>
      <c r="AG63">
        <v>2086</v>
      </c>
      <c r="AH63">
        <v>2067</v>
      </c>
      <c r="AI63">
        <v>2056</v>
      </c>
      <c r="AJ63">
        <v>2049</v>
      </c>
      <c r="AK63">
        <v>2045</v>
      </c>
      <c r="AL63">
        <v>2042</v>
      </c>
      <c r="AM63">
        <v>2045</v>
      </c>
      <c r="AN63">
        <v>2051</v>
      </c>
      <c r="AO63">
        <v>2060</v>
      </c>
      <c r="AP63">
        <v>2075</v>
      </c>
      <c r="AQ63">
        <v>2094</v>
      </c>
      <c r="AR63">
        <v>2112</v>
      </c>
      <c r="AS63">
        <v>2135</v>
      </c>
      <c r="AT63">
        <v>2155</v>
      </c>
      <c r="AU63">
        <v>2181</v>
      </c>
      <c r="AV63">
        <v>2204</v>
      </c>
      <c r="AW63">
        <v>2201</v>
      </c>
      <c r="AX63">
        <v>2181</v>
      </c>
      <c r="AY63">
        <v>2154</v>
      </c>
      <c r="AZ63">
        <v>2144</v>
      </c>
      <c r="BA63">
        <v>2139</v>
      </c>
      <c r="BB63">
        <v>2138</v>
      </c>
      <c r="BC63">
        <v>2148</v>
      </c>
      <c r="BD63">
        <v>2161</v>
      </c>
      <c r="BE63">
        <v>2172</v>
      </c>
      <c r="BF63">
        <v>2166</v>
      </c>
      <c r="BG63">
        <v>2155</v>
      </c>
      <c r="BH63">
        <v>2147</v>
      </c>
      <c r="BI63">
        <v>2135</v>
      </c>
      <c r="BJ63">
        <v>2133</v>
      </c>
      <c r="BK63">
        <v>2130</v>
      </c>
      <c r="BL63">
        <v>2112</v>
      </c>
      <c r="BM63">
        <v>2094</v>
      </c>
      <c r="BN63">
        <v>2070</v>
      </c>
      <c r="BO63">
        <v>2050</v>
      </c>
      <c r="BP63">
        <v>2034</v>
      </c>
      <c r="BQ63">
        <v>2018</v>
      </c>
      <c r="BR63">
        <v>2003</v>
      </c>
      <c r="BS63">
        <v>1995</v>
      </c>
      <c r="BT63">
        <v>1996</v>
      </c>
      <c r="BU63">
        <v>1997</v>
      </c>
      <c r="BV63">
        <v>1998</v>
      </c>
      <c r="BW63">
        <v>2001</v>
      </c>
      <c r="BX63">
        <v>2007</v>
      </c>
      <c r="BY63">
        <v>2012</v>
      </c>
      <c r="BZ63">
        <v>2017</v>
      </c>
      <c r="CA63">
        <v>2021</v>
      </c>
    </row>
    <row r="64" spans="1:79" x14ac:dyDescent="0.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2262</v>
      </c>
      <c r="Z64">
        <v>2242</v>
      </c>
      <c r="AA64">
        <v>2220</v>
      </c>
      <c r="AB64">
        <v>2197</v>
      </c>
      <c r="AC64">
        <v>2174</v>
      </c>
      <c r="AD64">
        <v>2142</v>
      </c>
      <c r="AE64">
        <v>2123</v>
      </c>
      <c r="AF64">
        <v>2104</v>
      </c>
      <c r="AG64">
        <v>2091</v>
      </c>
      <c r="AH64">
        <v>2076</v>
      </c>
      <c r="AI64">
        <v>2059</v>
      </c>
      <c r="AJ64">
        <v>2051</v>
      </c>
      <c r="AK64">
        <v>2047</v>
      </c>
      <c r="AL64">
        <v>2045</v>
      </c>
      <c r="AM64">
        <v>2046</v>
      </c>
      <c r="AN64">
        <v>2050</v>
      </c>
      <c r="AO64">
        <v>2060</v>
      </c>
      <c r="AP64">
        <v>2072</v>
      </c>
      <c r="AQ64">
        <v>2091</v>
      </c>
      <c r="AR64">
        <v>2109</v>
      </c>
      <c r="AS64">
        <v>2130</v>
      </c>
      <c r="AT64">
        <v>2153</v>
      </c>
      <c r="AU64">
        <v>2177</v>
      </c>
      <c r="AV64">
        <v>2199</v>
      </c>
      <c r="AW64">
        <v>2211</v>
      </c>
      <c r="AX64">
        <v>2203</v>
      </c>
      <c r="AY64">
        <v>2180</v>
      </c>
      <c r="AZ64">
        <v>2164</v>
      </c>
      <c r="BA64">
        <v>2159</v>
      </c>
      <c r="BB64">
        <v>2151</v>
      </c>
      <c r="BC64">
        <v>2153</v>
      </c>
      <c r="BD64">
        <v>2164</v>
      </c>
      <c r="BE64">
        <v>2177</v>
      </c>
      <c r="BF64">
        <v>2185</v>
      </c>
      <c r="BG64">
        <v>2181</v>
      </c>
      <c r="BH64">
        <v>2170</v>
      </c>
      <c r="BI64">
        <v>2161</v>
      </c>
      <c r="BJ64">
        <v>2157</v>
      </c>
      <c r="BK64">
        <v>2148</v>
      </c>
      <c r="BL64">
        <v>2134</v>
      </c>
      <c r="BM64">
        <v>2113</v>
      </c>
      <c r="BN64">
        <v>2084</v>
      </c>
      <c r="BO64">
        <v>2056</v>
      </c>
      <c r="BP64">
        <v>2038</v>
      </c>
      <c r="BQ64">
        <v>2022</v>
      </c>
      <c r="BR64">
        <v>2008</v>
      </c>
      <c r="BS64">
        <v>2002</v>
      </c>
      <c r="BT64">
        <v>2002</v>
      </c>
      <c r="BU64">
        <v>2003</v>
      </c>
      <c r="BV64">
        <v>2003</v>
      </c>
      <c r="BW64">
        <v>2006</v>
      </c>
      <c r="BX64">
        <v>2011</v>
      </c>
      <c r="BY64">
        <v>2018</v>
      </c>
      <c r="BZ64">
        <v>2025</v>
      </c>
      <c r="CA64">
        <v>2030</v>
      </c>
    </row>
    <row r="65" spans="1:79" x14ac:dyDescent="0.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2080</v>
      </c>
      <c r="AI65">
        <v>2067</v>
      </c>
      <c r="AJ65">
        <v>2054</v>
      </c>
      <c r="AK65">
        <v>2049</v>
      </c>
      <c r="AL65">
        <v>2047</v>
      </c>
      <c r="AM65">
        <v>2047</v>
      </c>
      <c r="AN65">
        <v>2051</v>
      </c>
      <c r="AO65">
        <v>2058</v>
      </c>
      <c r="AP65">
        <v>2071</v>
      </c>
      <c r="AQ65">
        <v>2086</v>
      </c>
      <c r="AR65">
        <v>2103</v>
      </c>
      <c r="AS65">
        <v>2125</v>
      </c>
      <c r="AT65">
        <v>0</v>
      </c>
      <c r="AU65">
        <v>0</v>
      </c>
      <c r="AV65">
        <v>0</v>
      </c>
      <c r="AW65">
        <v>0</v>
      </c>
      <c r="AX65">
        <v>2214</v>
      </c>
      <c r="AY65">
        <v>2203</v>
      </c>
      <c r="AZ65">
        <v>2193</v>
      </c>
      <c r="BA65">
        <v>2188</v>
      </c>
      <c r="BB65">
        <v>2172</v>
      </c>
      <c r="BC65">
        <v>2160</v>
      </c>
      <c r="BD65">
        <v>2165</v>
      </c>
      <c r="BE65">
        <v>2178</v>
      </c>
      <c r="BF65">
        <v>2193</v>
      </c>
      <c r="BG65">
        <v>2199</v>
      </c>
      <c r="BH65">
        <v>2191</v>
      </c>
      <c r="BI65">
        <v>2184</v>
      </c>
      <c r="BJ65">
        <v>2175</v>
      </c>
      <c r="BK65">
        <v>2161</v>
      </c>
      <c r="BL65">
        <v>2145</v>
      </c>
      <c r="BM65">
        <v>2123</v>
      </c>
      <c r="BN65">
        <v>2094</v>
      </c>
      <c r="BO65">
        <v>2064</v>
      </c>
      <c r="BP65">
        <v>2040</v>
      </c>
      <c r="BQ65">
        <v>2027</v>
      </c>
      <c r="BR65">
        <v>2014</v>
      </c>
      <c r="BS65">
        <v>2011</v>
      </c>
      <c r="BT65">
        <v>2009</v>
      </c>
      <c r="BU65">
        <v>2010</v>
      </c>
      <c r="BV65">
        <v>2010</v>
      </c>
      <c r="BW65">
        <v>2010</v>
      </c>
      <c r="BX65">
        <v>2016</v>
      </c>
      <c r="BY65">
        <v>2022</v>
      </c>
      <c r="BZ65">
        <v>2029</v>
      </c>
      <c r="CA65">
        <v>2034</v>
      </c>
    </row>
    <row r="66" spans="1:79" x14ac:dyDescent="0.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2059</v>
      </c>
      <c r="AK66">
        <v>2053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2211</v>
      </c>
      <c r="AZ66">
        <v>2208</v>
      </c>
      <c r="BA66">
        <v>2207</v>
      </c>
      <c r="BB66">
        <v>2190</v>
      </c>
      <c r="BC66">
        <v>2175</v>
      </c>
      <c r="BD66">
        <v>2171</v>
      </c>
      <c r="BE66">
        <v>2181</v>
      </c>
      <c r="BF66">
        <v>2198</v>
      </c>
      <c r="BG66">
        <v>2212</v>
      </c>
      <c r="BH66">
        <v>2209</v>
      </c>
      <c r="BI66">
        <v>2201</v>
      </c>
      <c r="BJ66">
        <v>2187</v>
      </c>
      <c r="BK66">
        <v>2172</v>
      </c>
      <c r="BL66">
        <v>2151</v>
      </c>
      <c r="BM66">
        <v>2129</v>
      </c>
      <c r="BN66">
        <v>2098</v>
      </c>
      <c r="BO66">
        <v>2067</v>
      </c>
      <c r="BP66">
        <v>2046</v>
      </c>
      <c r="BQ66">
        <v>2034</v>
      </c>
      <c r="BR66">
        <v>2026</v>
      </c>
      <c r="BS66">
        <v>2024</v>
      </c>
      <c r="BT66">
        <v>2019</v>
      </c>
      <c r="BU66">
        <v>2018</v>
      </c>
      <c r="BV66">
        <v>2015</v>
      </c>
      <c r="BW66">
        <v>2013</v>
      </c>
      <c r="BX66">
        <v>2017</v>
      </c>
      <c r="BY66">
        <v>2024</v>
      </c>
      <c r="BZ66">
        <v>2030</v>
      </c>
      <c r="CA66">
        <v>2038</v>
      </c>
    </row>
    <row r="67" spans="1:79" x14ac:dyDescent="0.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2215</v>
      </c>
      <c r="BB67">
        <v>2205</v>
      </c>
      <c r="BC67">
        <v>2187</v>
      </c>
      <c r="BD67">
        <v>2179</v>
      </c>
      <c r="BE67">
        <v>2184</v>
      </c>
      <c r="BF67">
        <v>2198</v>
      </c>
      <c r="BG67">
        <v>2217</v>
      </c>
      <c r="BH67">
        <v>2222</v>
      </c>
      <c r="BI67">
        <v>2213</v>
      </c>
      <c r="BJ67">
        <v>2200</v>
      </c>
      <c r="BK67">
        <v>2175</v>
      </c>
      <c r="BL67">
        <v>2155</v>
      </c>
      <c r="BM67">
        <v>2133</v>
      </c>
      <c r="BN67">
        <v>2103</v>
      </c>
      <c r="BO67">
        <v>2076</v>
      </c>
      <c r="BP67">
        <v>2051</v>
      </c>
      <c r="BQ67">
        <v>2042</v>
      </c>
      <c r="BR67">
        <v>2037</v>
      </c>
      <c r="BS67">
        <v>2029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2213</v>
      </c>
      <c r="BC68">
        <v>2197</v>
      </c>
      <c r="BD68">
        <v>2187</v>
      </c>
      <c r="BE68">
        <v>2184</v>
      </c>
      <c r="BF68">
        <v>2194</v>
      </c>
      <c r="BG68">
        <v>2210</v>
      </c>
      <c r="BH68">
        <v>2230</v>
      </c>
      <c r="BI68">
        <v>2219</v>
      </c>
      <c r="BJ68">
        <v>2205</v>
      </c>
      <c r="BK68">
        <v>2183</v>
      </c>
      <c r="BL68">
        <v>2161</v>
      </c>
      <c r="BM68">
        <v>2139</v>
      </c>
      <c r="BN68">
        <v>2109</v>
      </c>
      <c r="BO68">
        <v>2083</v>
      </c>
      <c r="BP68">
        <v>2062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2232</v>
      </c>
      <c r="BJ69">
        <v>2214</v>
      </c>
      <c r="BK69">
        <v>2193</v>
      </c>
      <c r="BL69">
        <v>2171</v>
      </c>
      <c r="BM69">
        <v>2148</v>
      </c>
      <c r="BN69">
        <v>2120</v>
      </c>
      <c r="BO69">
        <v>2095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2228</v>
      </c>
      <c r="BK70">
        <v>2207</v>
      </c>
      <c r="BL70">
        <v>2183</v>
      </c>
      <c r="BM70">
        <v>2161</v>
      </c>
      <c r="BN70">
        <v>2130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2222</v>
      </c>
      <c r="BL71">
        <v>2196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tabSelected="1" workbookViewId="0">
      <selection activeCell="G9" sqref="G9"/>
    </sheetView>
  </sheetViews>
  <sheetFormatPr defaultRowHeight="14.35" x14ac:dyDescent="0.5"/>
  <cols>
    <col min="2" max="2" width="4" customWidth="1"/>
    <col min="3" max="3" width="4.1171875" customWidth="1"/>
  </cols>
  <sheetData>
    <row r="1" spans="1:4" x14ac:dyDescent="0.5">
      <c r="A1" t="s">
        <v>97</v>
      </c>
      <c r="B1" s="3">
        <v>41</v>
      </c>
      <c r="C1" s="3">
        <v>75</v>
      </c>
      <c r="D1" t="s">
        <v>95</v>
      </c>
    </row>
    <row r="2" spans="1:4" x14ac:dyDescent="0.5">
      <c r="A2" t="s">
        <v>96</v>
      </c>
      <c r="B2" s="3">
        <v>39</v>
      </c>
      <c r="C2" s="3">
        <v>72</v>
      </c>
      <c r="D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spatial_orig</vt:lpstr>
      <vt:lpstr>MS-GSF_mapping_info</vt:lpstr>
      <vt:lpstr>Sheet3</vt:lpstr>
      <vt:lpstr>IBnd2</vt:lpstr>
      <vt:lpstr>IBnd3</vt:lpstr>
      <vt:lpstr>Top1</vt:lpstr>
      <vt:lpstr>Bot1</vt:lpstr>
      <vt:lpstr>Bot2</vt:lpstr>
      <vt:lpstr>Bot3</vt:lpstr>
      <vt:lpstr>Candidate_Well_Locations</vt:lpstr>
    </vt:vector>
  </TitlesOfParts>
  <Company>USGS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2016-10-27T22:54:55Z</dcterms:created>
  <dcterms:modified xsi:type="dcterms:W3CDTF">2018-07-02T23:26:29Z</dcterms:modified>
</cp:coreProperties>
</file>